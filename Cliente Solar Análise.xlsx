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015c659b534d1/Workplace/Portfólio Análise de dados/Excel-Analise_de_expansao_solar/"/>
    </mc:Choice>
  </mc:AlternateContent>
  <xr:revisionPtr revIDLastSave="330" documentId="8_{3A67DC9C-4C51-466A-AA1B-27A9AAD673B3}" xr6:coauthVersionLast="47" xr6:coauthVersionMax="47" xr10:uidLastSave="{4BB3B184-050A-4C67-B57C-4654134CF5CD}"/>
  <bookViews>
    <workbookView xWindow="-120" yWindow="-120" windowWidth="38640" windowHeight="15720" xr2:uid="{E283EC9B-F660-469F-A706-101104E76017}"/>
  </bookViews>
  <sheets>
    <sheet name="Resumo_Monitoramento" sheetId="10" r:id="rId1"/>
    <sheet name="Análise" sheetId="13" r:id="rId2"/>
    <sheet name="dados" sheetId="12" state="hidden" r:id="rId3"/>
  </sheets>
  <definedNames>
    <definedName name="B_Vermelha">dados!$B$3</definedName>
    <definedName name="COSIP">dados!$B$4</definedName>
    <definedName name="economia_atual">dados!$B$6</definedName>
    <definedName name="economia_expansao">dados!$B$5</definedName>
    <definedName name="_xlnm.Print_Area" localSheetId="1">Análise!$A$1:$P$40</definedName>
    <definedName name="TE">dados!$B$1</definedName>
    <definedName name="TUSD">dados!$B$2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3" l="1"/>
  <c r="H14" i="13"/>
  <c r="H5" i="13"/>
  <c r="I5" i="13" s="1"/>
  <c r="H6" i="13"/>
  <c r="I6" i="13" s="1"/>
  <c r="H7" i="13"/>
  <c r="I7" i="13" s="1"/>
  <c r="H8" i="13"/>
  <c r="I8" i="13" s="1"/>
  <c r="H9" i="13"/>
  <c r="J9" i="13" s="1"/>
  <c r="H10" i="13"/>
  <c r="H11" i="13"/>
  <c r="H12" i="13"/>
  <c r="I12" i="13" s="1"/>
  <c r="H13" i="13"/>
  <c r="I13" i="13" s="1"/>
  <c r="H4" i="13"/>
  <c r="J4" i="13" s="1"/>
  <c r="M4" i="13" s="1"/>
  <c r="F15" i="13"/>
  <c r="F14" i="13"/>
  <c r="E14" i="13"/>
  <c r="I10" i="13"/>
  <c r="I11" i="13"/>
  <c r="G15" i="13"/>
  <c r="E15" i="13"/>
  <c r="G14" i="13"/>
  <c r="D13" i="13"/>
  <c r="D12" i="13"/>
  <c r="D11" i="13"/>
  <c r="D10" i="13"/>
  <c r="D9" i="13"/>
  <c r="D8" i="13"/>
  <c r="D7" i="13"/>
  <c r="D6" i="13"/>
  <c r="D5" i="13"/>
  <c r="D4" i="13"/>
  <c r="O9" i="13" l="1"/>
  <c r="P9" i="13" s="1"/>
  <c r="O8" i="13"/>
  <c r="O7" i="13"/>
  <c r="O6" i="13"/>
  <c r="J13" i="13"/>
  <c r="O5" i="13"/>
  <c r="J12" i="13"/>
  <c r="J11" i="13"/>
  <c r="P11" i="13" s="1"/>
  <c r="O10" i="13"/>
  <c r="J10" i="13"/>
  <c r="K10" i="13" s="1"/>
  <c r="L10" i="13" s="1"/>
  <c r="O13" i="13"/>
  <c r="J8" i="13"/>
  <c r="K8" i="13" s="1"/>
  <c r="L8" i="13" s="1"/>
  <c r="O12" i="13"/>
  <c r="J7" i="13"/>
  <c r="O11" i="13"/>
  <c r="J6" i="13"/>
  <c r="P6" i="13" s="1"/>
  <c r="J5" i="13"/>
  <c r="M5" i="13" s="1"/>
  <c r="O4" i="13"/>
  <c r="I4" i="13"/>
  <c r="J15" i="13"/>
  <c r="M7" i="13"/>
  <c r="K7" i="13"/>
  <c r="L7" i="13" s="1"/>
  <c r="I9" i="13"/>
  <c r="M8" i="13" l="1"/>
  <c r="M10" i="13"/>
  <c r="K5" i="13"/>
  <c r="L5" i="13" s="1"/>
  <c r="P12" i="13"/>
  <c r="P13" i="13"/>
  <c r="I14" i="13"/>
  <c r="O14" i="13"/>
  <c r="P5" i="13"/>
  <c r="P7" i="13"/>
  <c r="K12" i="13"/>
  <c r="L12" i="13" s="1"/>
  <c r="P8" i="13"/>
  <c r="K11" i="13"/>
  <c r="L11" i="13" s="1"/>
  <c r="K13" i="13"/>
  <c r="L13" i="13" s="1"/>
  <c r="M13" i="13"/>
  <c r="M12" i="13"/>
  <c r="K6" i="13"/>
  <c r="L6" i="13" s="1"/>
  <c r="M11" i="13"/>
  <c r="M6" i="13"/>
  <c r="P10" i="13"/>
  <c r="J14" i="13"/>
  <c r="P14" i="13" s="1"/>
  <c r="K4" i="13"/>
  <c r="L4" i="13" s="1"/>
  <c r="P4" i="13"/>
  <c r="I15" i="13"/>
  <c r="O15" i="13"/>
  <c r="B6" i="12"/>
  <c r="M9" i="13"/>
  <c r="K9" i="13"/>
  <c r="L9" i="13" s="1"/>
  <c r="B5" i="12" l="1"/>
  <c r="K14" i="13"/>
  <c r="L14" i="13" s="1"/>
  <c r="M14" i="13"/>
  <c r="P15" i="13"/>
  <c r="M15" i="13"/>
  <c r="K15" i="13"/>
  <c r="L15" i="13" s="1"/>
</calcChain>
</file>

<file path=xl/sharedStrings.xml><?xml version="1.0" encoding="utf-8"?>
<sst xmlns="http://schemas.openxmlformats.org/spreadsheetml/2006/main" count="357" uniqueCount="42">
  <si>
    <t>Tempo</t>
  </si>
  <si>
    <t>Produção de energia solar（kWh）</t>
  </si>
  <si>
    <t>Clima</t>
  </si>
  <si>
    <t>Horas de pico solar（h）</t>
  </si>
  <si>
    <t>Nublado</t>
  </si>
  <si>
    <t>Ensolarado</t>
  </si>
  <si>
    <t>Chuva pesada</t>
  </si>
  <si>
    <t>Data Leitura 1</t>
  </si>
  <si>
    <t>Data Leitura 2</t>
  </si>
  <si>
    <t>Mês</t>
  </si>
  <si>
    <t>Agosto</t>
  </si>
  <si>
    <t>Setembro</t>
  </si>
  <si>
    <t>Junho</t>
  </si>
  <si>
    <t>Julho</t>
  </si>
  <si>
    <t>Fevereiro</t>
  </si>
  <si>
    <t>Março</t>
  </si>
  <si>
    <t>Abril</t>
  </si>
  <si>
    <t>Maio</t>
  </si>
  <si>
    <t>Outubro</t>
  </si>
  <si>
    <t>Dias</t>
  </si>
  <si>
    <t>Energia Injetada</t>
  </si>
  <si>
    <t>Energia Consumida</t>
  </si>
  <si>
    <t>Autoconsumo</t>
  </si>
  <si>
    <t>Geração</t>
  </si>
  <si>
    <t>Energia Necessária</t>
  </si>
  <si>
    <t>Janeiro</t>
  </si>
  <si>
    <t>Novembro</t>
  </si>
  <si>
    <t>Dezembro</t>
  </si>
  <si>
    <t>Consumo Total (kWh/mês)</t>
  </si>
  <si>
    <t>Valor Economizado</t>
  </si>
  <si>
    <t>Consumo TE</t>
  </si>
  <si>
    <t>Consumo TUSD</t>
  </si>
  <si>
    <t>Bandeira Vermelha</t>
  </si>
  <si>
    <t>COSIP</t>
  </si>
  <si>
    <t>Fatura Sem Energia Solar</t>
  </si>
  <si>
    <t>Nova Geração Proposta  (kWh/mês)</t>
  </si>
  <si>
    <t>Geração Total (kWh/mês)</t>
  </si>
  <si>
    <t>Fatura com expansão do sistema</t>
  </si>
  <si>
    <t>Fatura Atual</t>
  </si>
  <si>
    <t>Economia Com Expansão</t>
  </si>
  <si>
    <t>Economia Atual</t>
  </si>
  <si>
    <t>Comparativo de Fatura Atual e Projeção Pós-Expansão do Sistema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</si>
</sst>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44" fontId="0" fillId="0" borderId="0" xfId="1" applyFont="1"/>
    <xf numFmtId="0" fontId="0" fillId="0" borderId="0" xfId="0" applyAlignment="1">
      <alignment vertical="center"/>
    </xf>
    <xf numFmtId="14" fontId="0" fillId="0" borderId="0" xfId="0" applyNumberForma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/>
    </xf>
    <xf numFmtId="44" fontId="4" fillId="2" borderId="1" xfId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3" fontId="4" fillId="2" borderId="8" xfId="0" applyNumberFormat="1" applyFont="1" applyFill="1" applyBorder="1" applyAlignment="1">
      <alignment horizontal="center"/>
    </xf>
    <xf numFmtId="44" fontId="4" fillId="2" borderId="8" xfId="1" applyFont="1" applyFill="1" applyBorder="1" applyAlignment="1">
      <alignment horizontal="center"/>
    </xf>
    <xf numFmtId="3" fontId="4" fillId="2" borderId="9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44" fontId="4" fillId="3" borderId="6" xfId="1" applyFont="1" applyFill="1" applyBorder="1" applyAlignment="1">
      <alignment horizontal="center"/>
    </xf>
    <xf numFmtId="3" fontId="4" fillId="3" borderId="7" xfId="0" applyNumberFormat="1" applyFont="1" applyFill="1" applyBorder="1" applyAlignment="1">
      <alignment horizontal="center"/>
    </xf>
    <xf numFmtId="3" fontId="4" fillId="3" borderId="8" xfId="0" applyNumberFormat="1" applyFont="1" applyFill="1" applyBorder="1" applyAlignment="1">
      <alignment horizontal="center"/>
    </xf>
    <xf numFmtId="44" fontId="4" fillId="3" borderId="9" xfId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/>
    </xf>
    <xf numFmtId="44" fontId="4" fillId="3" borderId="8" xfId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3" fontId="4" fillId="2" borderId="12" xfId="0" applyNumberFormat="1" applyFont="1" applyFill="1" applyBorder="1" applyAlignment="1">
      <alignment horizontal="center"/>
    </xf>
    <xf numFmtId="3" fontId="4" fillId="3" borderId="6" xfId="0" applyNumberFormat="1" applyFont="1" applyFill="1" applyBorder="1" applyAlignment="1">
      <alignment horizontal="center"/>
    </xf>
    <xf numFmtId="3" fontId="4" fillId="3" borderId="9" xfId="0" applyNumberFormat="1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center"/>
    </xf>
    <xf numFmtId="3" fontId="7" fillId="2" borderId="1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32C2EFC8-F6A2-48B8-9487-220031C41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Fatura SEM Expansão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Análise!$F$3</c:f>
              <c:strCache>
                <c:ptCount val="1"/>
                <c:pt idx="0">
                  <c:v>Fatura Atual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Análise!$A$4:$A$15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Análise!$F$4:$F$15</c:f>
              <c:numCache>
                <c:formatCode>_("R$"* #,##0.00_);_("R$"* \(#,##0.00\);_("R$"* "-"??_);_(@_)</c:formatCode>
                <c:ptCount val="12"/>
                <c:pt idx="0">
                  <c:v>7328.8</c:v>
                </c:pt>
                <c:pt idx="1">
                  <c:v>8845.5400000000009</c:v>
                </c:pt>
                <c:pt idx="2">
                  <c:v>7440.98</c:v>
                </c:pt>
                <c:pt idx="3">
                  <c:v>4675.95</c:v>
                </c:pt>
                <c:pt idx="4">
                  <c:v>4300.1000000000004</c:v>
                </c:pt>
                <c:pt idx="5">
                  <c:v>3351.3</c:v>
                </c:pt>
                <c:pt idx="6">
                  <c:v>2891.43</c:v>
                </c:pt>
                <c:pt idx="7">
                  <c:v>2710.15</c:v>
                </c:pt>
                <c:pt idx="8">
                  <c:v>2771.04</c:v>
                </c:pt>
                <c:pt idx="9">
                  <c:v>3662.64</c:v>
                </c:pt>
                <c:pt idx="10">
                  <c:v>2891.43</c:v>
                </c:pt>
                <c:pt idx="11">
                  <c:v>7328.8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A-424A-A05B-3CA2927E8EEA}"/>
            </c:ext>
          </c:extLst>
        </c:ser>
        <c:ser>
          <c:idx val="1"/>
          <c:order val="1"/>
          <c:tx>
            <c:strRef>
              <c:f>Análise!$K$3</c:f>
              <c:strCache>
                <c:ptCount val="1"/>
                <c:pt idx="0">
                  <c:v>Fatura Sem Energia Solar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Análise!$A$4:$A$15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Análise!$K$4:$K$15</c:f>
              <c:numCache>
                <c:formatCode>_("R$"* #,##0.00_);_("R$"* \(#,##0.00\);_("R$"* "-"??_);_(@_)</c:formatCode>
                <c:ptCount val="12"/>
                <c:pt idx="0">
                  <c:v>12673.32483456</c:v>
                </c:pt>
                <c:pt idx="1">
                  <c:v>13529.243819519999</c:v>
                </c:pt>
                <c:pt idx="2">
                  <c:v>12788.217262079999</c:v>
                </c:pt>
                <c:pt idx="3">
                  <c:v>8593.5170880000005</c:v>
                </c:pt>
                <c:pt idx="4">
                  <c:v>8096.9340441599998</c:v>
                </c:pt>
                <c:pt idx="5">
                  <c:v>5556.2854464000002</c:v>
                </c:pt>
                <c:pt idx="6">
                  <c:v>5383.0411315199999</c:v>
                </c:pt>
                <c:pt idx="7">
                  <c:v>5393.0433024000004</c:v>
                </c:pt>
                <c:pt idx="8">
                  <c:v>5192.3195251200004</c:v>
                </c:pt>
                <c:pt idx="9">
                  <c:v>6392.9953152000007</c:v>
                </c:pt>
                <c:pt idx="10">
                  <c:v>6662.9125555199989</c:v>
                </c:pt>
                <c:pt idx="11">
                  <c:v>11082.29046912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A-424A-A05B-3CA2927E8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033392"/>
        <c:axId val="1140030032"/>
      </c:lineChart>
      <c:catAx>
        <c:axId val="11400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30032"/>
        <c:crosses val="autoZero"/>
        <c:auto val="1"/>
        <c:lblAlgn val="ctr"/>
        <c:lblOffset val="100"/>
        <c:noMultiLvlLbl val="0"/>
      </c:catAx>
      <c:valAx>
        <c:axId val="11400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3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Fatura COM</a:t>
            </a:r>
            <a:r>
              <a:rPr lang="en-US" baseline="0"/>
              <a:t> Expansão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Análise!$F$3</c:f>
              <c:strCache>
                <c:ptCount val="1"/>
                <c:pt idx="0">
                  <c:v>Fatura Atual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Análise!$A$4:$A$15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Análise!$F$4:$F$15</c:f>
              <c:numCache>
                <c:formatCode>_("R$"* #,##0.00_);_("R$"* \(#,##0.00\);_("R$"* "-"??_);_(@_)</c:formatCode>
                <c:ptCount val="12"/>
                <c:pt idx="0">
                  <c:v>7328.8</c:v>
                </c:pt>
                <c:pt idx="1">
                  <c:v>8845.5400000000009</c:v>
                </c:pt>
                <c:pt idx="2">
                  <c:v>7440.98</c:v>
                </c:pt>
                <c:pt idx="3">
                  <c:v>4675.95</c:v>
                </c:pt>
                <c:pt idx="4">
                  <c:v>4300.1000000000004</c:v>
                </c:pt>
                <c:pt idx="5">
                  <c:v>3351.3</c:v>
                </c:pt>
                <c:pt idx="6">
                  <c:v>2891.43</c:v>
                </c:pt>
                <c:pt idx="7">
                  <c:v>2710.15</c:v>
                </c:pt>
                <c:pt idx="8">
                  <c:v>2771.04</c:v>
                </c:pt>
                <c:pt idx="9">
                  <c:v>3662.64</c:v>
                </c:pt>
                <c:pt idx="10">
                  <c:v>2891.43</c:v>
                </c:pt>
                <c:pt idx="11">
                  <c:v>7328.8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6-43CB-9097-EC8F0194B680}"/>
            </c:ext>
          </c:extLst>
        </c:ser>
        <c:ser>
          <c:idx val="1"/>
          <c:order val="1"/>
          <c:tx>
            <c:strRef>
              <c:f>Análise!$K$3</c:f>
              <c:strCache>
                <c:ptCount val="1"/>
                <c:pt idx="0">
                  <c:v>Fatura Sem Energia Solar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Análise!$A$4:$A$15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Análise!$K$4:$K$15</c:f>
              <c:numCache>
                <c:formatCode>_("R$"* #,##0.00_);_("R$"* \(#,##0.00\);_("R$"* "-"??_);_(@_)</c:formatCode>
                <c:ptCount val="12"/>
                <c:pt idx="0">
                  <c:v>12673.32483456</c:v>
                </c:pt>
                <c:pt idx="1">
                  <c:v>13529.243819519999</c:v>
                </c:pt>
                <c:pt idx="2">
                  <c:v>12788.217262079999</c:v>
                </c:pt>
                <c:pt idx="3">
                  <c:v>8593.5170880000005</c:v>
                </c:pt>
                <c:pt idx="4">
                  <c:v>8096.9340441599998</c:v>
                </c:pt>
                <c:pt idx="5">
                  <c:v>5556.2854464000002</c:v>
                </c:pt>
                <c:pt idx="6">
                  <c:v>5383.0411315199999</c:v>
                </c:pt>
                <c:pt idx="7">
                  <c:v>5393.0433024000004</c:v>
                </c:pt>
                <c:pt idx="8">
                  <c:v>5192.3195251200004</c:v>
                </c:pt>
                <c:pt idx="9">
                  <c:v>6392.9953152000007</c:v>
                </c:pt>
                <c:pt idx="10">
                  <c:v>6662.9125555199989</c:v>
                </c:pt>
                <c:pt idx="11">
                  <c:v>11082.29046912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6-43CB-9097-EC8F0194B680}"/>
            </c:ext>
          </c:extLst>
        </c:ser>
        <c:ser>
          <c:idx val="2"/>
          <c:order val="2"/>
          <c:tx>
            <c:strRef>
              <c:f>Análise!$P$3</c:f>
              <c:strCache>
                <c:ptCount val="1"/>
                <c:pt idx="0">
                  <c:v>Fatura com expansão do sistema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Análise!$A$4:$A$15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Análise!$P$4:$P$15</c:f>
              <c:numCache>
                <c:formatCode>_("R$"* #,##0.00_);_("R$"* \(#,##0.00\);_("R$"* "-"??_);_(@_)</c:formatCode>
                <c:ptCount val="12"/>
                <c:pt idx="0">
                  <c:v>1590.9074400000002</c:v>
                </c:pt>
                <c:pt idx="1">
                  <c:v>3325.3828320000002</c:v>
                </c:pt>
                <c:pt idx="2">
                  <c:v>3280.320048</c:v>
                </c:pt>
                <c:pt idx="3">
                  <c:v>1119.9571680000001</c:v>
                </c:pt>
                <c:pt idx="4">
                  <c:v>1718.143536</c:v>
                </c:pt>
                <c:pt idx="5">
                  <c:v>744.43396800000005</c:v>
                </c:pt>
                <c:pt idx="6">
                  <c:v>176.289456</c:v>
                </c:pt>
                <c:pt idx="7">
                  <c:v>102.0684</c:v>
                </c:pt>
                <c:pt idx="8">
                  <c:v>102.0684</c:v>
                </c:pt>
                <c:pt idx="9">
                  <c:v>102.0684</c:v>
                </c:pt>
                <c:pt idx="10">
                  <c:v>102.0684</c:v>
                </c:pt>
                <c:pt idx="11">
                  <c:v>1523.7550560000002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6-43CB-9097-EC8F0194B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38544"/>
        <c:axId val="176039504"/>
      </c:lineChart>
      <c:catAx>
        <c:axId val="1760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39504"/>
        <c:crosses val="autoZero"/>
        <c:auto val="1"/>
        <c:lblAlgn val="ctr"/>
        <c:lblOffset val="100"/>
        <c:noMultiLvlLbl val="0"/>
      </c:catAx>
      <c:valAx>
        <c:axId val="17603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3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(Análise!$H$4,Análise!$M$4)</c:f>
              <c:numCache>
                <c:formatCode>#,##0</c:formatCode>
                <c:ptCount val="2"/>
                <c:pt idx="0">
                  <c:v>3923.09</c:v>
                </c:pt>
                <c:pt idx="1">
                  <c:v>10420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D-4428-9B93-D38B4E0716BB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(Análise!$H$5,Análise!$M$5)</c:f>
              <c:numCache>
                <c:formatCode>#,##0</c:formatCode>
                <c:ptCount val="2"/>
                <c:pt idx="0">
                  <c:v>3350.7799999999993</c:v>
                </c:pt>
                <c:pt idx="1">
                  <c:v>11961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D-4428-9B93-D38B4E0716BB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(Análise!$H$6,Análise!$M$6)</c:f>
              <c:numCache>
                <c:formatCode>#,##0</c:formatCode>
                <c:ptCount val="2"/>
                <c:pt idx="0">
                  <c:v>3776.12</c:v>
                </c:pt>
                <c:pt idx="1">
                  <c:v>10697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D-4428-9B93-D38B4E0716BB}"/>
            </c:ext>
          </c:extLst>
        </c:ser>
        <c:ser>
          <c:idx val="3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(Análise!$H$7,Análise!$M$7)</c:f>
              <c:numCache>
                <c:formatCode>#,##0</c:formatCode>
                <c:ptCount val="2"/>
                <c:pt idx="0">
                  <c:v>2862.7499999999995</c:v>
                </c:pt>
                <c:pt idx="1">
                  <c:v>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D-4428-9B93-D38B4E0716BB}"/>
            </c:ext>
          </c:extLst>
        </c:ser>
        <c:ser>
          <c:idx val="4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(Análise!$H$8,Análise!$M$8)</c:f>
              <c:numCache>
                <c:formatCode>#,##0</c:formatCode>
                <c:ptCount val="2"/>
                <c:pt idx="0">
                  <c:v>2657.74</c:v>
                </c:pt>
                <c:pt idx="1">
                  <c:v>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7D-4428-9B93-D38B4E0716BB}"/>
            </c:ext>
          </c:extLst>
        </c:ser>
        <c:ser>
          <c:idx val="5"/>
          <c:order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(Análise!$H$9,Análise!$M$9)</c:f>
              <c:numCache>
                <c:formatCode>#,##0</c:formatCode>
                <c:ptCount val="2"/>
                <c:pt idx="0">
                  <c:v>1651.3500000000004</c:v>
                </c:pt>
                <c:pt idx="1">
                  <c:v>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7D-4428-9B93-D38B4E0716BB}"/>
            </c:ext>
          </c:extLst>
        </c:ser>
        <c:ser>
          <c:idx val="6"/>
          <c:order val="6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(Análise!$H$10,Análise!$M$10)</c:f>
              <c:numCache>
                <c:formatCode>#,##0</c:formatCode>
                <c:ptCount val="2"/>
                <c:pt idx="0">
                  <c:v>1902.28</c:v>
                </c:pt>
                <c:pt idx="1">
                  <c:v>4190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D-4428-9B93-D38B4E0716BB}"/>
            </c:ext>
          </c:extLst>
        </c:ser>
        <c:ser>
          <c:idx val="7"/>
          <c:order val="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(Análise!$H$11,Análise!$M$11)</c:f>
              <c:numCache>
                <c:formatCode>#,##0</c:formatCode>
                <c:ptCount val="2"/>
                <c:pt idx="0">
                  <c:v>1983.6000000000001</c:v>
                </c:pt>
                <c:pt idx="1">
                  <c:v>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7D-4428-9B93-D38B4E0716BB}"/>
            </c:ext>
          </c:extLst>
        </c:ser>
        <c:ser>
          <c:idx val="8"/>
          <c:order val="8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(Análise!$H$12,Análise!$M$12)</c:f>
              <c:numCache>
                <c:formatCode>#,##0</c:formatCode>
                <c:ptCount val="2"/>
                <c:pt idx="0">
                  <c:v>2122.4299999999998</c:v>
                </c:pt>
                <c:pt idx="1">
                  <c:v>3754.0000000000005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7D-4428-9B93-D38B4E0716BB}"/>
            </c:ext>
          </c:extLst>
        </c:ser>
        <c:ser>
          <c:idx val="9"/>
          <c:order val="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(Análise!$H$13,Análise!$M$13)</c:f>
              <c:numCache>
                <c:formatCode>#,##0</c:formatCode>
                <c:ptCount val="2"/>
                <c:pt idx="0">
                  <c:v>2522.3000000000002</c:v>
                </c:pt>
                <c:pt idx="1">
                  <c:v>4713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7D-4428-9B93-D38B4E0716BB}"/>
            </c:ext>
          </c:extLst>
        </c:ser>
        <c:ser>
          <c:idx val="10"/>
          <c:order val="1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(Análise!$H$14,Análise!$M$14)</c:f>
              <c:numCache>
                <c:formatCode>#,##0</c:formatCode>
                <c:ptCount val="2"/>
                <c:pt idx="0">
                  <c:v>3350.7799999999993</c:v>
                </c:pt>
                <c:pt idx="1">
                  <c:v>4190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7D-4428-9B93-D38B4E0716BB}"/>
            </c:ext>
          </c:extLst>
        </c:ser>
        <c:ser>
          <c:idx val="11"/>
          <c:order val="1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847D-4428-9B93-D38B4E0716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47D-4428-9B93-D38B4E0716BB}"/>
              </c:ext>
            </c:extLst>
          </c:dPt>
          <c:cat>
            <c:strRef>
              <c:f>(Análise!$H$3,Análise!$M$3)</c:f>
              <c:strCache>
                <c:ptCount val="2"/>
                <c:pt idx="0">
                  <c:v>Geração</c:v>
                </c:pt>
                <c:pt idx="1">
                  <c:v>Energia Necessária</c:v>
                </c:pt>
              </c:strCache>
            </c:strRef>
          </c:cat>
          <c:val>
            <c:numRef>
              <c:f>(Análise!$H$15,Análise!$M$15)</c:f>
              <c:numCache>
                <c:formatCode>#,##0</c:formatCode>
                <c:ptCount val="2"/>
                <c:pt idx="0">
                  <c:v>2122.4299999999998</c:v>
                </c:pt>
                <c:pt idx="1">
                  <c:v>10420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47D-4428-9B93-D38B4E071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9</xdr:col>
      <xdr:colOff>1231526</xdr:colOff>
      <xdr:row>26</xdr:row>
      <xdr:rowOff>100853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A0DCB7-9719-406A-BFE6-8EAD35F45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16</xdr:col>
      <xdr:colOff>0</xdr:colOff>
      <xdr:row>26</xdr:row>
      <xdr:rowOff>89647</xdr:rowOff>
    </xdr:to>
    <xdr:sp macro="" textlink="economia_atual">
      <xdr:nvSpPr>
        <xdr:cNvPr id="5" name="TextBox 4">
          <a:extLst>
            <a:ext uri="{FF2B5EF4-FFF2-40B4-BE49-F238E27FC236}">
              <a16:creationId xmlns:a16="http://schemas.microsoft.com/office/drawing/2014/main" id="{A3CA63CC-5431-4A07-86DF-D7DBCD6BE701}"/>
            </a:ext>
          </a:extLst>
        </xdr:cNvPr>
        <xdr:cNvSpPr txBox="1"/>
      </xdr:nvSpPr>
      <xdr:spPr>
        <a:xfrm>
          <a:off x="14791765" y="3507441"/>
          <a:ext cx="5860676" cy="199464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25000"/>
              <a:lumOff val="75000"/>
            </a:schemeClr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Economia Anual</a:t>
          </a:r>
          <a:r>
            <a:rPr lang="en-US" sz="3200" b="0" i="0" u="none" strike="noStrike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t> Atual</a:t>
          </a:r>
          <a:endParaRPr lang="en-US" sz="3200" b="0" i="0" u="none" strike="noStrik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lt"/>
          </a:endParaRPr>
        </a:p>
        <a:p>
          <a:pPr algn="ctr"/>
          <a:fld id="{195639D3-7F7C-4B01-B631-8B4ECFDA2606}" type="TxLink">
            <a:rPr lang="en-US" sz="32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</a:rPr>
            <a:pPr algn="ctr"/>
            <a:t> R$ 27.408,64 </a:t>
          </a:fld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lt"/>
          </a:endParaRP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16</xdr:col>
      <xdr:colOff>0</xdr:colOff>
      <xdr:row>38</xdr:row>
      <xdr:rowOff>89647</xdr:rowOff>
    </xdr:to>
    <xdr:sp macro="" textlink="economia_expansao">
      <xdr:nvSpPr>
        <xdr:cNvPr id="6" name="TextBox 5">
          <a:extLst>
            <a:ext uri="{FF2B5EF4-FFF2-40B4-BE49-F238E27FC236}">
              <a16:creationId xmlns:a16="http://schemas.microsoft.com/office/drawing/2014/main" id="{CDEF6425-E2A6-4E9B-B613-16CAE33DB76D}"/>
            </a:ext>
          </a:extLst>
        </xdr:cNvPr>
        <xdr:cNvSpPr txBox="1"/>
      </xdr:nvSpPr>
      <xdr:spPr>
        <a:xfrm>
          <a:off x="14791765" y="5793441"/>
          <a:ext cx="5860676" cy="199464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t>Economia</a:t>
          </a:r>
          <a:r>
            <a:rPr lang="en-US" sz="36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t> Anual com Expansão</a:t>
          </a:r>
          <a:endParaRPr lang="en-US" sz="3600" b="0" i="0" u="none" strike="noStrike" cap="none" spc="0">
            <a:ln w="0"/>
            <a:solidFill>
              <a:srgbClr val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ptos Narrow"/>
          </a:endParaRPr>
        </a:p>
        <a:p>
          <a:pPr algn="ctr"/>
          <a:fld id="{1869515D-29F6-46B5-9F7A-7919964BA6BB}" type="TxLink">
            <a:rPr lang="en-US" sz="3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rPr>
            <a:pPr algn="ctr"/>
            <a:t> R$ 93.844,44 </a:t>
          </a:fld>
          <a:endParaRPr lang="en-US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lt"/>
          </a:endParaRPr>
        </a:p>
      </xdr:txBody>
    </xdr:sp>
    <xdr:clientData/>
  </xdr:twoCellAnchor>
  <xdr:twoCellAnchor>
    <xdr:from>
      <xdr:col>0</xdr:col>
      <xdr:colOff>0</xdr:colOff>
      <xdr:row>27</xdr:row>
      <xdr:rowOff>0</xdr:rowOff>
    </xdr:from>
    <xdr:to>
      <xdr:col>9</xdr:col>
      <xdr:colOff>1210235</xdr:colOff>
      <xdr:row>38</xdr:row>
      <xdr:rowOff>145677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17403-0614-4B8E-AD26-8680D4ADA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123264</xdr:colOff>
      <xdr:row>18</xdr:row>
      <xdr:rowOff>124386</xdr:rowOff>
    </xdr:from>
    <xdr:to>
      <xdr:col>12</xdr:col>
      <xdr:colOff>750794</xdr:colOff>
      <xdr:row>33</xdr:row>
      <xdr:rowOff>10086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1C7CAC-2DC7-52F5-A69C-39F9EA70C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DBFC-5240-40D6-AACD-CCEDA1E6D71D}">
  <dimension ref="A1:D319"/>
  <sheetViews>
    <sheetView tabSelected="1" zoomScale="70" zoomScaleNormal="70" workbookViewId="0">
      <selection activeCell="E15" sqref="E15:E16"/>
    </sheetView>
  </sheetViews>
  <sheetFormatPr defaultRowHeight="15" x14ac:dyDescent="0.25"/>
  <cols>
    <col min="1" max="1" width="16" bestFit="1" customWidth="1"/>
    <col min="2" max="2" width="52.85546875" customWidth="1"/>
    <col min="3" max="3" width="19.28515625" bestFit="1" customWidth="1"/>
    <col min="4" max="4" width="3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45640</v>
      </c>
      <c r="B2">
        <v>88.43</v>
      </c>
      <c r="C2" t="s">
        <v>6</v>
      </c>
      <c r="D2">
        <v>3.09</v>
      </c>
    </row>
    <row r="3" spans="1:4" x14ac:dyDescent="0.25">
      <c r="A3" s="3">
        <v>45641</v>
      </c>
      <c r="B3">
        <v>147.51</v>
      </c>
      <c r="C3" t="s">
        <v>4</v>
      </c>
      <c r="D3">
        <v>5.16</v>
      </c>
    </row>
    <row r="4" spans="1:4" x14ac:dyDescent="0.25">
      <c r="A4" s="3">
        <v>45642</v>
      </c>
      <c r="B4">
        <v>145.51</v>
      </c>
      <c r="C4" t="s">
        <v>6</v>
      </c>
      <c r="D4">
        <v>5.09</v>
      </c>
    </row>
    <row r="5" spans="1:4" x14ac:dyDescent="0.25">
      <c r="A5" s="3">
        <v>45643</v>
      </c>
      <c r="B5">
        <v>168.18</v>
      </c>
      <c r="C5" t="s">
        <v>6</v>
      </c>
      <c r="D5">
        <v>5.88</v>
      </c>
    </row>
    <row r="6" spans="1:4" x14ac:dyDescent="0.25">
      <c r="A6" s="3">
        <v>45644</v>
      </c>
      <c r="B6">
        <v>133.61000000000001</v>
      </c>
      <c r="C6" t="s">
        <v>6</v>
      </c>
      <c r="D6">
        <v>4.67</v>
      </c>
    </row>
    <row r="7" spans="1:4" x14ac:dyDescent="0.25">
      <c r="A7" s="3">
        <v>45645</v>
      </c>
      <c r="B7">
        <v>124.38</v>
      </c>
      <c r="C7" t="s">
        <v>6</v>
      </c>
      <c r="D7">
        <v>4.3499999999999996</v>
      </c>
    </row>
    <row r="8" spans="1:4" x14ac:dyDescent="0.25">
      <c r="A8" s="3">
        <v>45646</v>
      </c>
      <c r="B8">
        <v>121.2</v>
      </c>
      <c r="C8" t="s">
        <v>6</v>
      </c>
      <c r="D8">
        <v>4.24</v>
      </c>
    </row>
    <row r="9" spans="1:4" x14ac:dyDescent="0.25">
      <c r="A9" s="3">
        <v>45647</v>
      </c>
      <c r="B9">
        <v>146.80000000000001</v>
      </c>
      <c r="C9" t="s">
        <v>6</v>
      </c>
      <c r="D9">
        <v>5.13</v>
      </c>
    </row>
    <row r="10" spans="1:4" x14ac:dyDescent="0.25">
      <c r="A10" s="3">
        <v>45648</v>
      </c>
      <c r="B10">
        <v>61.51</v>
      </c>
      <c r="C10" t="s">
        <v>6</v>
      </c>
      <c r="D10">
        <v>2.15</v>
      </c>
    </row>
    <row r="11" spans="1:4" x14ac:dyDescent="0.25">
      <c r="A11" s="3">
        <v>45649</v>
      </c>
      <c r="B11">
        <v>77.11</v>
      </c>
      <c r="C11" t="s">
        <v>6</v>
      </c>
      <c r="D11">
        <v>2.7</v>
      </c>
    </row>
    <row r="12" spans="1:4" x14ac:dyDescent="0.25">
      <c r="A12" s="3">
        <v>45650</v>
      </c>
      <c r="B12">
        <v>80.28</v>
      </c>
      <c r="C12" t="s">
        <v>6</v>
      </c>
      <c r="D12">
        <v>2.81</v>
      </c>
    </row>
    <row r="13" spans="1:4" x14ac:dyDescent="0.25">
      <c r="A13" s="3">
        <v>45651</v>
      </c>
      <c r="B13">
        <v>93.65</v>
      </c>
      <c r="C13" t="s">
        <v>6</v>
      </c>
      <c r="D13">
        <v>3.27</v>
      </c>
    </row>
    <row r="14" spans="1:4" x14ac:dyDescent="0.25">
      <c r="A14" s="3">
        <v>45652</v>
      </c>
      <c r="B14">
        <v>69.69</v>
      </c>
      <c r="C14" t="s">
        <v>6</v>
      </c>
      <c r="D14">
        <v>2.44</v>
      </c>
    </row>
    <row r="15" spans="1:4" x14ac:dyDescent="0.25">
      <c r="A15" s="3">
        <v>45653</v>
      </c>
      <c r="B15">
        <v>150.9</v>
      </c>
      <c r="C15" t="s">
        <v>6</v>
      </c>
      <c r="D15">
        <v>5.28</v>
      </c>
    </row>
    <row r="16" spans="1:4" x14ac:dyDescent="0.25">
      <c r="A16" s="3">
        <v>45654</v>
      </c>
      <c r="B16">
        <v>121.65</v>
      </c>
      <c r="C16" t="s">
        <v>6</v>
      </c>
      <c r="D16">
        <v>4.25</v>
      </c>
    </row>
    <row r="17" spans="1:4" x14ac:dyDescent="0.25">
      <c r="A17" s="3">
        <v>45655</v>
      </c>
      <c r="B17">
        <v>152.97999999999999</v>
      </c>
      <c r="C17" t="s">
        <v>6</v>
      </c>
      <c r="D17">
        <v>5.35</v>
      </c>
    </row>
    <row r="18" spans="1:4" x14ac:dyDescent="0.25">
      <c r="A18" s="3">
        <v>45656</v>
      </c>
      <c r="B18">
        <v>120.34</v>
      </c>
      <c r="C18" t="s">
        <v>6</v>
      </c>
      <c r="D18">
        <v>4.21</v>
      </c>
    </row>
    <row r="19" spans="1:4" x14ac:dyDescent="0.25">
      <c r="A19" s="3">
        <v>45657</v>
      </c>
      <c r="B19">
        <v>126.41</v>
      </c>
      <c r="C19" t="s">
        <v>6</v>
      </c>
      <c r="D19">
        <v>4.42</v>
      </c>
    </row>
    <row r="20" spans="1:4" x14ac:dyDescent="0.25">
      <c r="A20" s="3">
        <v>45658</v>
      </c>
      <c r="B20">
        <v>127.44</v>
      </c>
      <c r="C20" t="s">
        <v>6</v>
      </c>
      <c r="D20">
        <v>4.46</v>
      </c>
    </row>
    <row r="21" spans="1:4" x14ac:dyDescent="0.25">
      <c r="A21" s="3">
        <v>45659</v>
      </c>
      <c r="B21">
        <v>101.04</v>
      </c>
      <c r="C21" t="s">
        <v>6</v>
      </c>
      <c r="D21">
        <v>3.53</v>
      </c>
    </row>
    <row r="22" spans="1:4" x14ac:dyDescent="0.25">
      <c r="A22" s="3">
        <v>45660</v>
      </c>
      <c r="B22">
        <v>147.08000000000001</v>
      </c>
      <c r="C22" t="s">
        <v>5</v>
      </c>
      <c r="D22">
        <v>5.14</v>
      </c>
    </row>
    <row r="23" spans="1:4" x14ac:dyDescent="0.25">
      <c r="A23" s="3">
        <v>45661</v>
      </c>
      <c r="B23">
        <v>145.94</v>
      </c>
      <c r="C23" t="s">
        <v>6</v>
      </c>
      <c r="D23">
        <v>5.0999999999999996</v>
      </c>
    </row>
    <row r="24" spans="1:4" x14ac:dyDescent="0.25">
      <c r="A24" s="3">
        <v>45662</v>
      </c>
      <c r="B24">
        <v>129.77000000000001</v>
      </c>
      <c r="C24" t="s">
        <v>6</v>
      </c>
      <c r="D24">
        <v>4.54</v>
      </c>
    </row>
    <row r="25" spans="1:4" x14ac:dyDescent="0.25">
      <c r="A25" s="3">
        <v>45663</v>
      </c>
      <c r="B25">
        <v>123.59</v>
      </c>
      <c r="C25" t="s">
        <v>6</v>
      </c>
      <c r="D25">
        <v>4.32</v>
      </c>
    </row>
    <row r="26" spans="1:4" x14ac:dyDescent="0.25">
      <c r="A26" s="3">
        <v>45664</v>
      </c>
      <c r="B26">
        <v>119.6</v>
      </c>
      <c r="C26" t="s">
        <v>6</v>
      </c>
      <c r="D26">
        <v>4.18</v>
      </c>
    </row>
    <row r="27" spans="1:4" x14ac:dyDescent="0.25">
      <c r="A27" s="3">
        <v>45665</v>
      </c>
      <c r="B27">
        <v>92.04</v>
      </c>
      <c r="C27" t="s">
        <v>6</v>
      </c>
      <c r="D27">
        <v>3.22</v>
      </c>
    </row>
    <row r="28" spans="1:4" x14ac:dyDescent="0.25">
      <c r="A28" s="3">
        <v>45666</v>
      </c>
      <c r="B28">
        <v>83</v>
      </c>
      <c r="C28" t="s">
        <v>6</v>
      </c>
      <c r="D28">
        <v>2.9</v>
      </c>
    </row>
    <row r="29" spans="1:4" x14ac:dyDescent="0.25">
      <c r="A29" s="3">
        <v>45667</v>
      </c>
      <c r="B29">
        <v>131.41</v>
      </c>
      <c r="C29" t="s">
        <v>6</v>
      </c>
      <c r="D29">
        <v>4.59</v>
      </c>
    </row>
    <row r="30" spans="1:4" x14ac:dyDescent="0.25">
      <c r="A30" s="3">
        <v>45668</v>
      </c>
      <c r="B30">
        <v>53.5</v>
      </c>
      <c r="C30" t="s">
        <v>6</v>
      </c>
      <c r="D30">
        <v>1.87</v>
      </c>
    </row>
    <row r="31" spans="1:4" x14ac:dyDescent="0.25">
      <c r="A31" s="3">
        <v>45669</v>
      </c>
      <c r="B31">
        <v>102.06</v>
      </c>
      <c r="C31" t="s">
        <v>6</v>
      </c>
      <c r="D31">
        <v>3.57</v>
      </c>
    </row>
    <row r="32" spans="1:4" x14ac:dyDescent="0.25">
      <c r="A32" s="3">
        <v>45670</v>
      </c>
      <c r="B32">
        <v>117</v>
      </c>
      <c r="C32" t="s">
        <v>6</v>
      </c>
      <c r="D32">
        <v>4.09</v>
      </c>
    </row>
    <row r="33" spans="1:4" x14ac:dyDescent="0.25">
      <c r="A33" s="3">
        <v>45671</v>
      </c>
      <c r="B33">
        <v>171.98</v>
      </c>
      <c r="C33" t="s">
        <v>5</v>
      </c>
      <c r="D33">
        <v>6.01</v>
      </c>
    </row>
    <row r="34" spans="1:4" x14ac:dyDescent="0.25">
      <c r="A34" s="3">
        <v>45672</v>
      </c>
      <c r="B34">
        <v>147.5</v>
      </c>
      <c r="C34" t="s">
        <v>6</v>
      </c>
      <c r="D34">
        <v>5.16</v>
      </c>
    </row>
    <row r="35" spans="1:4" x14ac:dyDescent="0.25">
      <c r="A35" s="3">
        <v>45673</v>
      </c>
      <c r="B35">
        <v>22.83</v>
      </c>
      <c r="C35" t="s">
        <v>6</v>
      </c>
      <c r="D35">
        <v>0.8</v>
      </c>
    </row>
    <row r="36" spans="1:4" x14ac:dyDescent="0.25">
      <c r="A36" s="3">
        <v>45674</v>
      </c>
      <c r="B36">
        <v>78.239999999999995</v>
      </c>
      <c r="C36" t="s">
        <v>6</v>
      </c>
      <c r="D36">
        <v>2.74</v>
      </c>
    </row>
    <row r="37" spans="1:4" x14ac:dyDescent="0.25">
      <c r="A37" s="3">
        <v>45675</v>
      </c>
      <c r="B37">
        <v>131.47</v>
      </c>
      <c r="C37" t="s">
        <v>6</v>
      </c>
      <c r="D37">
        <v>4.5999999999999996</v>
      </c>
    </row>
    <row r="38" spans="1:4" x14ac:dyDescent="0.25">
      <c r="A38" s="3">
        <v>45676</v>
      </c>
      <c r="B38">
        <v>126.26</v>
      </c>
      <c r="C38" t="s">
        <v>6</v>
      </c>
      <c r="D38">
        <v>4.41</v>
      </c>
    </row>
    <row r="39" spans="1:4" x14ac:dyDescent="0.25">
      <c r="A39" s="3">
        <v>45677</v>
      </c>
      <c r="B39">
        <v>110.79</v>
      </c>
      <c r="C39" t="s">
        <v>4</v>
      </c>
      <c r="D39">
        <v>3.87</v>
      </c>
    </row>
    <row r="40" spans="1:4" x14ac:dyDescent="0.25">
      <c r="A40" s="3">
        <v>45678</v>
      </c>
      <c r="B40">
        <v>90.57</v>
      </c>
      <c r="C40" t="s">
        <v>6</v>
      </c>
      <c r="D40">
        <v>3.17</v>
      </c>
    </row>
    <row r="41" spans="1:4" x14ac:dyDescent="0.25">
      <c r="A41" s="3">
        <v>45679</v>
      </c>
      <c r="B41">
        <v>139.41</v>
      </c>
      <c r="C41" t="s">
        <v>6</v>
      </c>
      <c r="D41">
        <v>4.87</v>
      </c>
    </row>
    <row r="42" spans="1:4" x14ac:dyDescent="0.25">
      <c r="A42" s="3">
        <v>45680</v>
      </c>
      <c r="B42">
        <v>145.49</v>
      </c>
      <c r="C42" t="s">
        <v>6</v>
      </c>
      <c r="D42">
        <v>5.09</v>
      </c>
    </row>
    <row r="43" spans="1:4" x14ac:dyDescent="0.25">
      <c r="A43" s="3">
        <v>45681</v>
      </c>
      <c r="B43">
        <v>91.43</v>
      </c>
      <c r="C43" t="s">
        <v>6</v>
      </c>
      <c r="D43">
        <v>3.2</v>
      </c>
    </row>
    <row r="44" spans="1:4" x14ac:dyDescent="0.25">
      <c r="A44" s="3">
        <v>45682</v>
      </c>
      <c r="B44">
        <v>97.33</v>
      </c>
      <c r="C44" t="s">
        <v>6</v>
      </c>
      <c r="D44">
        <v>3.4</v>
      </c>
    </row>
    <row r="45" spans="1:4" x14ac:dyDescent="0.25">
      <c r="A45" s="3">
        <v>45683</v>
      </c>
      <c r="B45">
        <v>133.9</v>
      </c>
      <c r="C45" t="s">
        <v>6</v>
      </c>
      <c r="D45">
        <v>4.68</v>
      </c>
    </row>
    <row r="46" spans="1:4" x14ac:dyDescent="0.25">
      <c r="A46" s="3">
        <v>45684</v>
      </c>
      <c r="B46">
        <v>91.12</v>
      </c>
      <c r="C46" t="s">
        <v>6</v>
      </c>
      <c r="D46">
        <v>3.19</v>
      </c>
    </row>
    <row r="47" spans="1:4" x14ac:dyDescent="0.25">
      <c r="A47" s="3">
        <v>45685</v>
      </c>
      <c r="B47">
        <v>93.1</v>
      </c>
      <c r="C47" t="s">
        <v>6</v>
      </c>
      <c r="D47">
        <v>3.26</v>
      </c>
    </row>
    <row r="48" spans="1:4" x14ac:dyDescent="0.25">
      <c r="A48" s="3">
        <v>45686</v>
      </c>
      <c r="B48">
        <v>72.33</v>
      </c>
      <c r="C48" t="s">
        <v>6</v>
      </c>
      <c r="D48">
        <v>2.5299999999999998</v>
      </c>
    </row>
    <row r="49" spans="1:4" x14ac:dyDescent="0.25">
      <c r="A49" s="3">
        <v>45687</v>
      </c>
      <c r="B49">
        <v>123.2</v>
      </c>
      <c r="C49" t="s">
        <v>6</v>
      </c>
      <c r="D49">
        <v>4.3099999999999996</v>
      </c>
    </row>
    <row r="50" spans="1:4" x14ac:dyDescent="0.25">
      <c r="A50" s="3">
        <v>45688</v>
      </c>
      <c r="B50">
        <v>122.69</v>
      </c>
      <c r="C50" t="s">
        <v>6</v>
      </c>
      <c r="D50">
        <v>4.29</v>
      </c>
    </row>
    <row r="51" spans="1:4" x14ac:dyDescent="0.25">
      <c r="A51" s="3">
        <v>45689</v>
      </c>
      <c r="B51">
        <v>78.349999999999994</v>
      </c>
      <c r="C51" t="s">
        <v>6</v>
      </c>
      <c r="D51">
        <v>2.74</v>
      </c>
    </row>
    <row r="52" spans="1:4" x14ac:dyDescent="0.25">
      <c r="A52" s="3">
        <v>45690</v>
      </c>
      <c r="B52">
        <v>89.04</v>
      </c>
      <c r="C52" t="s">
        <v>6</v>
      </c>
      <c r="D52">
        <v>3.11</v>
      </c>
    </row>
    <row r="53" spans="1:4" x14ac:dyDescent="0.25">
      <c r="A53" s="3">
        <v>45691</v>
      </c>
      <c r="B53">
        <v>109.25</v>
      </c>
      <c r="C53" t="s">
        <v>6</v>
      </c>
      <c r="D53">
        <v>3.82</v>
      </c>
    </row>
    <row r="54" spans="1:4" x14ac:dyDescent="0.25">
      <c r="A54" s="3">
        <v>45692</v>
      </c>
      <c r="B54">
        <v>110.63</v>
      </c>
      <c r="C54" t="s">
        <v>6</v>
      </c>
      <c r="D54">
        <v>3.87</v>
      </c>
    </row>
    <row r="55" spans="1:4" x14ac:dyDescent="0.25">
      <c r="A55" s="3">
        <v>45693</v>
      </c>
      <c r="B55">
        <v>85.52</v>
      </c>
      <c r="C55" t="s">
        <v>4</v>
      </c>
      <c r="D55">
        <v>2.99</v>
      </c>
    </row>
    <row r="56" spans="1:4" x14ac:dyDescent="0.25">
      <c r="A56" s="3">
        <v>45694</v>
      </c>
      <c r="B56">
        <v>72.959999999999994</v>
      </c>
      <c r="C56" t="s">
        <v>6</v>
      </c>
      <c r="D56">
        <v>2.5499999999999998</v>
      </c>
    </row>
    <row r="57" spans="1:4" x14ac:dyDescent="0.25">
      <c r="A57" s="3">
        <v>45695</v>
      </c>
      <c r="B57">
        <v>58.63</v>
      </c>
      <c r="C57" t="s">
        <v>6</v>
      </c>
      <c r="D57">
        <v>2.0499999999999998</v>
      </c>
    </row>
    <row r="58" spans="1:4" x14ac:dyDescent="0.25">
      <c r="A58" s="3">
        <v>45696</v>
      </c>
      <c r="B58">
        <v>145.16</v>
      </c>
      <c r="C58" t="s">
        <v>6</v>
      </c>
      <c r="D58">
        <v>5.08</v>
      </c>
    </row>
    <row r="59" spans="1:4" x14ac:dyDescent="0.25">
      <c r="A59" s="3">
        <v>45697</v>
      </c>
      <c r="B59">
        <v>159.55000000000001</v>
      </c>
      <c r="C59" t="s">
        <v>5</v>
      </c>
      <c r="D59">
        <v>5.58</v>
      </c>
    </row>
    <row r="60" spans="1:4" x14ac:dyDescent="0.25">
      <c r="A60" s="3">
        <v>45698</v>
      </c>
      <c r="B60">
        <v>155.51</v>
      </c>
      <c r="C60" t="s">
        <v>4</v>
      </c>
      <c r="D60">
        <v>5.44</v>
      </c>
    </row>
    <row r="61" spans="1:4" x14ac:dyDescent="0.25">
      <c r="A61" s="3">
        <v>45699</v>
      </c>
      <c r="B61">
        <v>147.36000000000001</v>
      </c>
      <c r="C61" t="s">
        <v>5</v>
      </c>
      <c r="D61">
        <v>5.15</v>
      </c>
    </row>
    <row r="62" spans="1:4" x14ac:dyDescent="0.25">
      <c r="A62" s="3">
        <v>45700</v>
      </c>
      <c r="B62">
        <v>134.5</v>
      </c>
      <c r="C62" t="s">
        <v>6</v>
      </c>
      <c r="D62">
        <v>4.7</v>
      </c>
    </row>
    <row r="63" spans="1:4" x14ac:dyDescent="0.25">
      <c r="A63" s="3">
        <v>45701</v>
      </c>
      <c r="B63">
        <v>101.08</v>
      </c>
      <c r="C63" t="s">
        <v>6</v>
      </c>
      <c r="D63">
        <v>3.53</v>
      </c>
    </row>
    <row r="64" spans="1:4" x14ac:dyDescent="0.25">
      <c r="A64" s="3">
        <v>45702</v>
      </c>
      <c r="B64">
        <v>85.58</v>
      </c>
      <c r="C64" t="s">
        <v>6</v>
      </c>
      <c r="D64">
        <v>2.99</v>
      </c>
    </row>
    <row r="65" spans="1:4" x14ac:dyDescent="0.25">
      <c r="A65" s="3">
        <v>45703</v>
      </c>
      <c r="B65">
        <v>144.72999999999999</v>
      </c>
      <c r="C65" t="s">
        <v>6</v>
      </c>
      <c r="D65">
        <v>5.0599999999999996</v>
      </c>
    </row>
    <row r="66" spans="1:4" x14ac:dyDescent="0.25">
      <c r="A66" s="3">
        <v>45704</v>
      </c>
      <c r="B66">
        <v>141.33000000000001</v>
      </c>
      <c r="C66" t="s">
        <v>6</v>
      </c>
      <c r="D66">
        <v>4.9400000000000004</v>
      </c>
    </row>
    <row r="67" spans="1:4" x14ac:dyDescent="0.25">
      <c r="A67" s="3">
        <v>45705</v>
      </c>
      <c r="B67">
        <v>95.79</v>
      </c>
      <c r="C67" t="s">
        <v>6</v>
      </c>
      <c r="D67">
        <v>3.35</v>
      </c>
    </row>
    <row r="68" spans="1:4" x14ac:dyDescent="0.25">
      <c r="A68" s="3">
        <v>45706</v>
      </c>
      <c r="B68">
        <v>43.56</v>
      </c>
      <c r="C68" t="s">
        <v>6</v>
      </c>
      <c r="D68">
        <v>1.52</v>
      </c>
    </row>
    <row r="69" spans="1:4" x14ac:dyDescent="0.25">
      <c r="A69" s="3">
        <v>45707</v>
      </c>
      <c r="B69">
        <v>77.94</v>
      </c>
      <c r="C69" t="s">
        <v>6</v>
      </c>
      <c r="D69">
        <v>2.73</v>
      </c>
    </row>
    <row r="70" spans="1:4" x14ac:dyDescent="0.25">
      <c r="A70" s="3">
        <v>45708</v>
      </c>
      <c r="B70">
        <v>120.02</v>
      </c>
      <c r="C70" t="s">
        <v>6</v>
      </c>
      <c r="D70">
        <v>4.2</v>
      </c>
    </row>
    <row r="71" spans="1:4" x14ac:dyDescent="0.25">
      <c r="A71" s="3">
        <v>45709</v>
      </c>
      <c r="B71">
        <v>142.76</v>
      </c>
      <c r="C71" t="s">
        <v>6</v>
      </c>
      <c r="D71">
        <v>4.99</v>
      </c>
    </row>
    <row r="72" spans="1:4" x14ac:dyDescent="0.25">
      <c r="A72" s="3">
        <v>45710</v>
      </c>
      <c r="B72">
        <v>112.45</v>
      </c>
      <c r="C72" t="s">
        <v>6</v>
      </c>
      <c r="D72">
        <v>3.93</v>
      </c>
    </row>
    <row r="73" spans="1:4" x14ac:dyDescent="0.25">
      <c r="A73" s="3">
        <v>45711</v>
      </c>
      <c r="B73">
        <v>103.29</v>
      </c>
      <c r="C73" t="s">
        <v>6</v>
      </c>
      <c r="D73">
        <v>3.61</v>
      </c>
    </row>
    <row r="74" spans="1:4" x14ac:dyDescent="0.25">
      <c r="A74" s="3">
        <v>45712</v>
      </c>
      <c r="B74">
        <v>137.01</v>
      </c>
      <c r="C74" t="s">
        <v>6</v>
      </c>
      <c r="D74">
        <v>4.79</v>
      </c>
    </row>
    <row r="75" spans="1:4" x14ac:dyDescent="0.25">
      <c r="A75" s="3">
        <v>45713</v>
      </c>
      <c r="B75">
        <v>143.83000000000001</v>
      </c>
      <c r="C75" t="s">
        <v>6</v>
      </c>
      <c r="D75">
        <v>5.03</v>
      </c>
    </row>
    <row r="76" spans="1:4" x14ac:dyDescent="0.25">
      <c r="A76" s="3">
        <v>45714</v>
      </c>
      <c r="B76">
        <v>140.16</v>
      </c>
      <c r="C76" t="s">
        <v>6</v>
      </c>
      <c r="D76">
        <v>4.9000000000000004</v>
      </c>
    </row>
    <row r="77" spans="1:4" x14ac:dyDescent="0.25">
      <c r="A77" s="3">
        <v>45715</v>
      </c>
      <c r="B77">
        <v>127.64</v>
      </c>
      <c r="C77" t="s">
        <v>6</v>
      </c>
      <c r="D77">
        <v>4.46</v>
      </c>
    </row>
    <row r="78" spans="1:4" x14ac:dyDescent="0.25">
      <c r="A78" s="3">
        <v>45716</v>
      </c>
      <c r="B78">
        <v>146.4</v>
      </c>
      <c r="C78" t="s">
        <v>6</v>
      </c>
      <c r="D78">
        <v>5.12</v>
      </c>
    </row>
    <row r="79" spans="1:4" x14ac:dyDescent="0.25">
      <c r="A79" s="3">
        <v>45717</v>
      </c>
      <c r="B79">
        <v>145.81</v>
      </c>
      <c r="C79" t="s">
        <v>4</v>
      </c>
      <c r="D79">
        <v>5.0999999999999996</v>
      </c>
    </row>
    <row r="80" spans="1:4" x14ac:dyDescent="0.25">
      <c r="A80" s="3">
        <v>45718</v>
      </c>
      <c r="B80">
        <v>132.13</v>
      </c>
      <c r="C80" t="s">
        <v>4</v>
      </c>
      <c r="D80">
        <v>4.62</v>
      </c>
    </row>
    <row r="81" spans="1:4" x14ac:dyDescent="0.25">
      <c r="A81" s="3">
        <v>45719</v>
      </c>
      <c r="B81">
        <v>143.68</v>
      </c>
      <c r="C81" t="s">
        <v>4</v>
      </c>
      <c r="D81">
        <v>5.0199999999999996</v>
      </c>
    </row>
    <row r="82" spans="1:4" x14ac:dyDescent="0.25">
      <c r="A82" s="3">
        <v>45720</v>
      </c>
      <c r="B82">
        <v>137.5</v>
      </c>
      <c r="C82" t="s">
        <v>5</v>
      </c>
      <c r="D82">
        <v>4.8099999999999996</v>
      </c>
    </row>
    <row r="83" spans="1:4" x14ac:dyDescent="0.25">
      <c r="A83" s="3">
        <v>45721</v>
      </c>
      <c r="B83">
        <v>133.6</v>
      </c>
      <c r="C83" t="s">
        <v>6</v>
      </c>
      <c r="D83">
        <v>4.67</v>
      </c>
    </row>
    <row r="84" spans="1:4" x14ac:dyDescent="0.25">
      <c r="A84" s="3">
        <v>45722</v>
      </c>
      <c r="B84">
        <v>140.94</v>
      </c>
      <c r="C84" t="s">
        <v>6</v>
      </c>
      <c r="D84">
        <v>4.93</v>
      </c>
    </row>
    <row r="85" spans="1:4" x14ac:dyDescent="0.25">
      <c r="A85" s="3">
        <v>45723</v>
      </c>
      <c r="B85">
        <v>129.55000000000001</v>
      </c>
      <c r="C85" t="s">
        <v>6</v>
      </c>
      <c r="D85">
        <v>4.53</v>
      </c>
    </row>
    <row r="86" spans="1:4" x14ac:dyDescent="0.25">
      <c r="A86" s="3">
        <v>45724</v>
      </c>
      <c r="B86">
        <v>124.37</v>
      </c>
      <c r="C86" t="s">
        <v>6</v>
      </c>
      <c r="D86">
        <v>4.3499999999999996</v>
      </c>
    </row>
    <row r="87" spans="1:4" x14ac:dyDescent="0.25">
      <c r="A87" s="3">
        <v>45725</v>
      </c>
      <c r="B87">
        <v>110.16</v>
      </c>
      <c r="C87" t="s">
        <v>6</v>
      </c>
      <c r="D87">
        <v>3.85</v>
      </c>
    </row>
    <row r="88" spans="1:4" x14ac:dyDescent="0.25">
      <c r="A88" s="3">
        <v>45726</v>
      </c>
      <c r="B88">
        <v>103.57</v>
      </c>
      <c r="C88" t="s">
        <v>6</v>
      </c>
      <c r="D88">
        <v>3.62</v>
      </c>
    </row>
    <row r="89" spans="1:4" x14ac:dyDescent="0.25">
      <c r="A89" s="3">
        <v>45727</v>
      </c>
      <c r="B89">
        <v>53.34</v>
      </c>
      <c r="C89" t="s">
        <v>6</v>
      </c>
      <c r="D89">
        <v>1.87</v>
      </c>
    </row>
    <row r="90" spans="1:4" x14ac:dyDescent="0.25">
      <c r="A90" s="3">
        <v>45728</v>
      </c>
      <c r="B90">
        <v>121.94</v>
      </c>
      <c r="C90" t="s">
        <v>6</v>
      </c>
      <c r="D90">
        <v>4.26</v>
      </c>
    </row>
    <row r="91" spans="1:4" x14ac:dyDescent="0.25">
      <c r="A91" s="3">
        <v>45729</v>
      </c>
      <c r="B91">
        <v>126.22</v>
      </c>
      <c r="C91" t="s">
        <v>6</v>
      </c>
      <c r="D91">
        <v>4.41</v>
      </c>
    </row>
    <row r="92" spans="1:4" x14ac:dyDescent="0.25">
      <c r="A92" s="3">
        <v>45730</v>
      </c>
      <c r="B92">
        <v>116.18</v>
      </c>
      <c r="C92" t="s">
        <v>6</v>
      </c>
      <c r="D92">
        <v>4.0599999999999996</v>
      </c>
    </row>
    <row r="93" spans="1:4" x14ac:dyDescent="0.25">
      <c r="A93" s="3">
        <v>45731</v>
      </c>
      <c r="B93">
        <v>68.47</v>
      </c>
      <c r="C93" t="s">
        <v>6</v>
      </c>
      <c r="D93">
        <v>2.39</v>
      </c>
    </row>
    <row r="94" spans="1:4" x14ac:dyDescent="0.25">
      <c r="A94" s="3">
        <v>45732</v>
      </c>
      <c r="B94">
        <v>107.63</v>
      </c>
      <c r="C94" t="s">
        <v>5</v>
      </c>
      <c r="D94">
        <v>3.76</v>
      </c>
    </row>
    <row r="95" spans="1:4" x14ac:dyDescent="0.25">
      <c r="A95" s="3">
        <v>45733</v>
      </c>
      <c r="B95">
        <v>118.54</v>
      </c>
      <c r="C95" t="s">
        <v>4</v>
      </c>
      <c r="D95">
        <v>4.1399999999999997</v>
      </c>
    </row>
    <row r="96" spans="1:4" x14ac:dyDescent="0.25">
      <c r="A96" s="3">
        <v>45734</v>
      </c>
      <c r="B96">
        <v>100.21</v>
      </c>
      <c r="C96" t="s">
        <v>6</v>
      </c>
      <c r="D96">
        <v>3.5</v>
      </c>
    </row>
    <row r="97" spans="1:4" x14ac:dyDescent="0.25">
      <c r="A97" s="3">
        <v>45735</v>
      </c>
      <c r="B97">
        <v>138.02000000000001</v>
      </c>
      <c r="C97" t="s">
        <v>6</v>
      </c>
      <c r="D97">
        <v>4.83</v>
      </c>
    </row>
    <row r="98" spans="1:4" x14ac:dyDescent="0.25">
      <c r="A98" s="3">
        <v>45736</v>
      </c>
      <c r="B98">
        <v>137.71</v>
      </c>
      <c r="C98" t="s">
        <v>6</v>
      </c>
      <c r="D98">
        <v>4.82</v>
      </c>
    </row>
    <row r="99" spans="1:4" x14ac:dyDescent="0.25">
      <c r="A99" s="3">
        <v>45737</v>
      </c>
      <c r="B99">
        <v>126.68</v>
      </c>
      <c r="C99" t="s">
        <v>5</v>
      </c>
      <c r="D99">
        <v>4.43</v>
      </c>
    </row>
    <row r="100" spans="1:4" x14ac:dyDescent="0.25">
      <c r="A100" s="3">
        <v>45738</v>
      </c>
      <c r="B100">
        <v>125.77</v>
      </c>
      <c r="C100" t="s">
        <v>4</v>
      </c>
      <c r="D100">
        <v>4.4000000000000004</v>
      </c>
    </row>
    <row r="101" spans="1:4" x14ac:dyDescent="0.25">
      <c r="A101" s="3">
        <v>45739</v>
      </c>
      <c r="B101">
        <v>105.26</v>
      </c>
      <c r="C101" t="s">
        <v>6</v>
      </c>
      <c r="D101">
        <v>3.68</v>
      </c>
    </row>
    <row r="102" spans="1:4" x14ac:dyDescent="0.25">
      <c r="A102" s="3">
        <v>45740</v>
      </c>
      <c r="B102">
        <v>114.17</v>
      </c>
      <c r="C102" t="s">
        <v>6</v>
      </c>
      <c r="D102">
        <v>3.99</v>
      </c>
    </row>
    <row r="103" spans="1:4" x14ac:dyDescent="0.25">
      <c r="A103" s="3">
        <v>45741</v>
      </c>
      <c r="B103">
        <v>109.05</v>
      </c>
      <c r="C103" t="s">
        <v>6</v>
      </c>
      <c r="D103">
        <v>3.81</v>
      </c>
    </row>
    <row r="104" spans="1:4" x14ac:dyDescent="0.25">
      <c r="A104" s="3">
        <v>45742</v>
      </c>
      <c r="B104">
        <v>71.17</v>
      </c>
      <c r="C104" t="s">
        <v>6</v>
      </c>
      <c r="D104">
        <v>2.4900000000000002</v>
      </c>
    </row>
    <row r="105" spans="1:4" x14ac:dyDescent="0.25">
      <c r="A105" s="3">
        <v>45743</v>
      </c>
      <c r="B105">
        <v>117.09</v>
      </c>
      <c r="C105" t="s">
        <v>6</v>
      </c>
      <c r="D105">
        <v>4.09</v>
      </c>
    </row>
    <row r="106" spans="1:4" x14ac:dyDescent="0.25">
      <c r="A106" s="3">
        <v>45744</v>
      </c>
      <c r="B106">
        <v>107.4</v>
      </c>
      <c r="C106" t="s">
        <v>4</v>
      </c>
      <c r="D106">
        <v>3.76</v>
      </c>
    </row>
    <row r="107" spans="1:4" x14ac:dyDescent="0.25">
      <c r="A107" s="3">
        <v>45745</v>
      </c>
      <c r="B107">
        <v>103.11</v>
      </c>
      <c r="C107" t="s">
        <v>4</v>
      </c>
      <c r="D107">
        <v>3.61</v>
      </c>
    </row>
    <row r="108" spans="1:4" x14ac:dyDescent="0.25">
      <c r="A108" s="3">
        <v>45746</v>
      </c>
      <c r="B108">
        <v>123.48</v>
      </c>
      <c r="C108" t="s">
        <v>6</v>
      </c>
      <c r="D108">
        <v>4.32</v>
      </c>
    </row>
    <row r="109" spans="1:4" x14ac:dyDescent="0.25">
      <c r="A109" s="3">
        <v>45747</v>
      </c>
      <c r="B109">
        <v>121.99</v>
      </c>
      <c r="C109" t="s">
        <v>5</v>
      </c>
      <c r="D109">
        <v>4.2699999999999996</v>
      </c>
    </row>
    <row r="110" spans="1:4" x14ac:dyDescent="0.25">
      <c r="A110" s="3">
        <v>45748</v>
      </c>
      <c r="B110">
        <v>115.31</v>
      </c>
      <c r="C110" t="s">
        <v>6</v>
      </c>
      <c r="D110">
        <v>4.03</v>
      </c>
    </row>
    <row r="111" spans="1:4" x14ac:dyDescent="0.25">
      <c r="A111" s="3">
        <v>45749</v>
      </c>
      <c r="B111">
        <v>105.17</v>
      </c>
      <c r="C111" t="s">
        <v>6</v>
      </c>
      <c r="D111">
        <v>3.68</v>
      </c>
    </row>
    <row r="112" spans="1:4" x14ac:dyDescent="0.25">
      <c r="A112" s="3">
        <v>45750</v>
      </c>
      <c r="B112">
        <v>76.66</v>
      </c>
      <c r="C112" t="s">
        <v>6</v>
      </c>
      <c r="D112">
        <v>2.68</v>
      </c>
    </row>
    <row r="113" spans="1:4" x14ac:dyDescent="0.25">
      <c r="A113" s="3">
        <v>45751</v>
      </c>
      <c r="B113">
        <v>84.58</v>
      </c>
      <c r="C113" t="s">
        <v>6</v>
      </c>
      <c r="D113">
        <v>2.96</v>
      </c>
    </row>
    <row r="114" spans="1:4" x14ac:dyDescent="0.25">
      <c r="A114" s="3">
        <v>45752</v>
      </c>
      <c r="B114">
        <v>115.74</v>
      </c>
      <c r="C114" t="s">
        <v>6</v>
      </c>
      <c r="D114">
        <v>4.05</v>
      </c>
    </row>
    <row r="115" spans="1:4" x14ac:dyDescent="0.25">
      <c r="A115" s="3">
        <v>45753</v>
      </c>
      <c r="B115">
        <v>120.64</v>
      </c>
      <c r="C115" t="s">
        <v>6</v>
      </c>
      <c r="D115">
        <v>4.22</v>
      </c>
    </row>
    <row r="116" spans="1:4" x14ac:dyDescent="0.25">
      <c r="A116" s="3">
        <v>45754</v>
      </c>
      <c r="B116">
        <v>101.41</v>
      </c>
      <c r="C116" t="s">
        <v>6</v>
      </c>
      <c r="D116">
        <v>3.55</v>
      </c>
    </row>
    <row r="117" spans="1:4" x14ac:dyDescent="0.25">
      <c r="A117" s="3">
        <v>45755</v>
      </c>
      <c r="B117">
        <v>23.49</v>
      </c>
      <c r="C117" t="s">
        <v>6</v>
      </c>
      <c r="D117">
        <v>0.82</v>
      </c>
    </row>
    <row r="118" spans="1:4" x14ac:dyDescent="0.25">
      <c r="A118" s="3">
        <v>45756</v>
      </c>
      <c r="B118">
        <v>69.87</v>
      </c>
      <c r="C118" t="s">
        <v>6</v>
      </c>
      <c r="D118">
        <v>2.44</v>
      </c>
    </row>
    <row r="119" spans="1:4" x14ac:dyDescent="0.25">
      <c r="A119" s="3">
        <v>45757</v>
      </c>
      <c r="B119">
        <v>29.7</v>
      </c>
      <c r="C119" t="s">
        <v>6</v>
      </c>
      <c r="D119">
        <v>1.04</v>
      </c>
    </row>
    <row r="120" spans="1:4" x14ac:dyDescent="0.25">
      <c r="A120" s="3">
        <v>45758</v>
      </c>
      <c r="B120">
        <v>66.69</v>
      </c>
      <c r="C120" t="s">
        <v>6</v>
      </c>
      <c r="D120">
        <v>2.33</v>
      </c>
    </row>
    <row r="121" spans="1:4" x14ac:dyDescent="0.25">
      <c r="A121" s="3">
        <v>45759</v>
      </c>
      <c r="B121">
        <v>101.72</v>
      </c>
      <c r="C121" t="s">
        <v>6</v>
      </c>
      <c r="D121">
        <v>3.56</v>
      </c>
    </row>
    <row r="122" spans="1:4" x14ac:dyDescent="0.25">
      <c r="A122" s="3">
        <v>45760</v>
      </c>
      <c r="B122">
        <v>38.78</v>
      </c>
      <c r="C122" t="s">
        <v>6</v>
      </c>
      <c r="D122">
        <v>1.36</v>
      </c>
    </row>
    <row r="123" spans="1:4" x14ac:dyDescent="0.25">
      <c r="A123" s="3">
        <v>45761</v>
      </c>
      <c r="B123">
        <v>93.34</v>
      </c>
      <c r="C123" t="s">
        <v>4</v>
      </c>
      <c r="D123">
        <v>3.26</v>
      </c>
    </row>
    <row r="124" spans="1:4" x14ac:dyDescent="0.25">
      <c r="A124" s="3">
        <v>45762</v>
      </c>
      <c r="B124">
        <v>64.45</v>
      </c>
      <c r="C124" t="s">
        <v>5</v>
      </c>
      <c r="D124">
        <v>2.25</v>
      </c>
    </row>
    <row r="125" spans="1:4" x14ac:dyDescent="0.25">
      <c r="A125" s="3">
        <v>45763</v>
      </c>
      <c r="B125">
        <v>95.86</v>
      </c>
      <c r="C125" t="s">
        <v>6</v>
      </c>
      <c r="D125">
        <v>3.35</v>
      </c>
    </row>
    <row r="126" spans="1:4" x14ac:dyDescent="0.25">
      <c r="A126" s="3">
        <v>45764</v>
      </c>
      <c r="B126">
        <v>108.41</v>
      </c>
      <c r="C126" t="s">
        <v>6</v>
      </c>
      <c r="D126">
        <v>3.79</v>
      </c>
    </row>
    <row r="127" spans="1:4" x14ac:dyDescent="0.25">
      <c r="A127" s="3">
        <v>45765</v>
      </c>
      <c r="B127">
        <v>96.87</v>
      </c>
      <c r="C127" t="s">
        <v>4</v>
      </c>
      <c r="D127">
        <v>3.39</v>
      </c>
    </row>
    <row r="128" spans="1:4" x14ac:dyDescent="0.25">
      <c r="A128" s="3">
        <v>45766</v>
      </c>
      <c r="B128">
        <v>37.82</v>
      </c>
      <c r="C128" t="s">
        <v>6</v>
      </c>
      <c r="D128">
        <v>1.32</v>
      </c>
    </row>
    <row r="129" spans="1:4" x14ac:dyDescent="0.25">
      <c r="A129" s="3">
        <v>45767</v>
      </c>
      <c r="B129">
        <v>105.65</v>
      </c>
      <c r="C129" t="s">
        <v>6</v>
      </c>
      <c r="D129">
        <v>3.69</v>
      </c>
    </row>
    <row r="130" spans="1:4" x14ac:dyDescent="0.25">
      <c r="A130" s="3">
        <v>45768</v>
      </c>
      <c r="B130">
        <v>63.74</v>
      </c>
      <c r="C130" t="s">
        <v>4</v>
      </c>
      <c r="D130">
        <v>2.23</v>
      </c>
    </row>
    <row r="131" spans="1:4" x14ac:dyDescent="0.25">
      <c r="A131" s="3">
        <v>45769</v>
      </c>
      <c r="B131">
        <v>107.54</v>
      </c>
      <c r="C131" t="s">
        <v>4</v>
      </c>
      <c r="D131">
        <v>3.76</v>
      </c>
    </row>
    <row r="132" spans="1:4" x14ac:dyDescent="0.25">
      <c r="A132" s="3">
        <v>45770</v>
      </c>
      <c r="B132">
        <v>102</v>
      </c>
      <c r="C132" t="s">
        <v>4</v>
      </c>
      <c r="D132">
        <v>3.57</v>
      </c>
    </row>
    <row r="133" spans="1:4" x14ac:dyDescent="0.25">
      <c r="A133" s="3">
        <v>45771</v>
      </c>
      <c r="B133">
        <v>49.18</v>
      </c>
      <c r="C133" t="s">
        <v>6</v>
      </c>
      <c r="D133">
        <v>1.72</v>
      </c>
    </row>
    <row r="134" spans="1:4" x14ac:dyDescent="0.25">
      <c r="A134" s="3">
        <v>45772</v>
      </c>
      <c r="B134">
        <v>97.41</v>
      </c>
      <c r="C134" t="s">
        <v>6</v>
      </c>
      <c r="D134">
        <v>3.41</v>
      </c>
    </row>
    <row r="135" spans="1:4" x14ac:dyDescent="0.25">
      <c r="A135" s="3">
        <v>45773</v>
      </c>
      <c r="B135">
        <v>78.41</v>
      </c>
      <c r="C135" t="s">
        <v>5</v>
      </c>
      <c r="D135">
        <v>2.74</v>
      </c>
    </row>
    <row r="136" spans="1:4" x14ac:dyDescent="0.25">
      <c r="A136" s="3">
        <v>45774</v>
      </c>
      <c r="B136">
        <v>85.57</v>
      </c>
      <c r="C136" t="s">
        <v>6</v>
      </c>
      <c r="D136">
        <v>2.99</v>
      </c>
    </row>
    <row r="137" spans="1:4" x14ac:dyDescent="0.25">
      <c r="A137" s="3">
        <v>45775</v>
      </c>
      <c r="B137">
        <v>83.17</v>
      </c>
      <c r="C137" t="s">
        <v>6</v>
      </c>
      <c r="D137">
        <v>2.91</v>
      </c>
    </row>
    <row r="138" spans="1:4" x14ac:dyDescent="0.25">
      <c r="A138" s="3">
        <v>45776</v>
      </c>
      <c r="B138">
        <v>104.84</v>
      </c>
      <c r="C138" t="s">
        <v>4</v>
      </c>
      <c r="D138">
        <v>3.67</v>
      </c>
    </row>
    <row r="139" spans="1:4" x14ac:dyDescent="0.25">
      <c r="A139" s="3">
        <v>45777</v>
      </c>
      <c r="B139">
        <v>99.21</v>
      </c>
      <c r="C139" t="s">
        <v>4</v>
      </c>
      <c r="D139">
        <v>3.47</v>
      </c>
    </row>
    <row r="140" spans="1:4" x14ac:dyDescent="0.25">
      <c r="A140" s="3">
        <v>45778</v>
      </c>
      <c r="B140">
        <v>88.44</v>
      </c>
      <c r="C140" t="s">
        <v>4</v>
      </c>
      <c r="D140">
        <v>3.09</v>
      </c>
    </row>
    <row r="141" spans="1:4" x14ac:dyDescent="0.25">
      <c r="A141" s="3">
        <v>45779</v>
      </c>
      <c r="B141">
        <v>82.48</v>
      </c>
      <c r="C141" t="s">
        <v>6</v>
      </c>
      <c r="D141">
        <v>2.88</v>
      </c>
    </row>
    <row r="142" spans="1:4" x14ac:dyDescent="0.25">
      <c r="A142" s="3">
        <v>45780</v>
      </c>
      <c r="B142">
        <v>78.69</v>
      </c>
      <c r="C142" t="s">
        <v>4</v>
      </c>
      <c r="D142">
        <v>2.75</v>
      </c>
    </row>
    <row r="143" spans="1:4" x14ac:dyDescent="0.25">
      <c r="A143" s="3">
        <v>45781</v>
      </c>
      <c r="B143">
        <v>98.3</v>
      </c>
      <c r="C143" t="s">
        <v>5</v>
      </c>
      <c r="D143">
        <v>3.44</v>
      </c>
    </row>
    <row r="144" spans="1:4" x14ac:dyDescent="0.25">
      <c r="A144" s="3">
        <v>45782</v>
      </c>
      <c r="B144">
        <v>80.52</v>
      </c>
      <c r="C144" t="s">
        <v>6</v>
      </c>
      <c r="D144">
        <v>2.82</v>
      </c>
    </row>
    <row r="145" spans="1:4" x14ac:dyDescent="0.25">
      <c r="A145" s="3">
        <v>45783</v>
      </c>
      <c r="B145">
        <v>82.75</v>
      </c>
      <c r="C145" t="s">
        <v>6</v>
      </c>
      <c r="D145">
        <v>2.89</v>
      </c>
    </row>
    <row r="146" spans="1:4" x14ac:dyDescent="0.25">
      <c r="A146" s="3">
        <v>45784</v>
      </c>
      <c r="B146">
        <v>52.64</v>
      </c>
      <c r="C146" t="s">
        <v>4</v>
      </c>
      <c r="D146">
        <v>1.84</v>
      </c>
    </row>
    <row r="147" spans="1:4" x14ac:dyDescent="0.25">
      <c r="A147" s="3">
        <v>45785</v>
      </c>
      <c r="B147">
        <v>69.62</v>
      </c>
      <c r="C147" t="s">
        <v>4</v>
      </c>
      <c r="D147">
        <v>2.4300000000000002</v>
      </c>
    </row>
    <row r="148" spans="1:4" x14ac:dyDescent="0.25">
      <c r="A148" s="3">
        <v>45786</v>
      </c>
      <c r="B148">
        <v>82.23</v>
      </c>
      <c r="C148" t="s">
        <v>4</v>
      </c>
      <c r="D148">
        <v>2.88</v>
      </c>
    </row>
    <row r="149" spans="1:4" x14ac:dyDescent="0.25">
      <c r="A149" s="3">
        <v>45787</v>
      </c>
      <c r="B149">
        <v>84.07</v>
      </c>
      <c r="C149" t="s">
        <v>6</v>
      </c>
      <c r="D149">
        <v>2.94</v>
      </c>
    </row>
    <row r="150" spans="1:4" x14ac:dyDescent="0.25">
      <c r="A150" s="3">
        <v>45788</v>
      </c>
      <c r="B150">
        <v>96.7</v>
      </c>
      <c r="C150" t="s">
        <v>6</v>
      </c>
      <c r="D150">
        <v>3.38</v>
      </c>
    </row>
    <row r="151" spans="1:4" x14ac:dyDescent="0.25">
      <c r="A151" s="3">
        <v>45789</v>
      </c>
      <c r="B151">
        <v>73.680000000000007</v>
      </c>
      <c r="C151" t="s">
        <v>6</v>
      </c>
      <c r="D151">
        <v>2.58</v>
      </c>
    </row>
    <row r="152" spans="1:4" x14ac:dyDescent="0.25">
      <c r="A152" s="3">
        <v>45790</v>
      </c>
      <c r="B152">
        <v>32.24</v>
      </c>
      <c r="C152" t="s">
        <v>6</v>
      </c>
      <c r="D152">
        <v>1.1299999999999999</v>
      </c>
    </row>
    <row r="153" spans="1:4" x14ac:dyDescent="0.25">
      <c r="A153" s="3">
        <v>45791</v>
      </c>
      <c r="B153">
        <v>93.56</v>
      </c>
      <c r="C153" t="s">
        <v>6</v>
      </c>
      <c r="D153">
        <v>3.27</v>
      </c>
    </row>
    <row r="154" spans="1:4" x14ac:dyDescent="0.25">
      <c r="A154" s="3">
        <v>45792</v>
      </c>
      <c r="B154">
        <v>88.35</v>
      </c>
      <c r="C154" t="s">
        <v>6</v>
      </c>
      <c r="D154">
        <v>3.09</v>
      </c>
    </row>
    <row r="155" spans="1:4" x14ac:dyDescent="0.25">
      <c r="A155" s="3">
        <v>45793</v>
      </c>
      <c r="B155">
        <v>74.09</v>
      </c>
      <c r="C155" t="s">
        <v>6</v>
      </c>
      <c r="D155">
        <v>2.59</v>
      </c>
    </row>
    <row r="156" spans="1:4" x14ac:dyDescent="0.25">
      <c r="A156" s="3">
        <v>45794</v>
      </c>
      <c r="B156">
        <v>63.74</v>
      </c>
      <c r="C156" t="s">
        <v>4</v>
      </c>
      <c r="D156">
        <v>2.23</v>
      </c>
    </row>
    <row r="157" spans="1:4" x14ac:dyDescent="0.25">
      <c r="A157" s="3">
        <v>45795</v>
      </c>
      <c r="B157">
        <v>87.65</v>
      </c>
      <c r="C157" t="s">
        <v>5</v>
      </c>
      <c r="D157">
        <v>3.06</v>
      </c>
    </row>
    <row r="158" spans="1:4" x14ac:dyDescent="0.25">
      <c r="A158" s="3">
        <v>45796</v>
      </c>
      <c r="B158">
        <v>37.020000000000003</v>
      </c>
      <c r="C158" t="s">
        <v>6</v>
      </c>
      <c r="D158">
        <v>1.29</v>
      </c>
    </row>
    <row r="159" spans="1:4" x14ac:dyDescent="0.25">
      <c r="A159" s="3">
        <v>45797</v>
      </c>
      <c r="B159">
        <v>71.540000000000006</v>
      </c>
      <c r="C159" t="s">
        <v>6</v>
      </c>
      <c r="D159">
        <v>2.5</v>
      </c>
    </row>
    <row r="160" spans="1:4" x14ac:dyDescent="0.25">
      <c r="A160" s="3">
        <v>45798</v>
      </c>
      <c r="B160">
        <v>16.079999999999998</v>
      </c>
      <c r="C160" t="s">
        <v>6</v>
      </c>
      <c r="D160">
        <v>0.56000000000000005</v>
      </c>
    </row>
    <row r="161" spans="1:4" x14ac:dyDescent="0.25">
      <c r="A161" s="3">
        <v>45799</v>
      </c>
      <c r="B161">
        <v>11.66</v>
      </c>
      <c r="C161" t="s">
        <v>6</v>
      </c>
      <c r="D161">
        <v>0.41</v>
      </c>
    </row>
    <row r="162" spans="1:4" x14ac:dyDescent="0.25">
      <c r="A162" s="3">
        <v>45800</v>
      </c>
      <c r="B162">
        <v>30.66</v>
      </c>
      <c r="C162" t="s">
        <v>6</v>
      </c>
      <c r="D162">
        <v>1.07</v>
      </c>
    </row>
    <row r="163" spans="1:4" x14ac:dyDescent="0.25">
      <c r="A163" s="3">
        <v>45801</v>
      </c>
      <c r="B163">
        <v>36.18</v>
      </c>
      <c r="C163" t="s">
        <v>6</v>
      </c>
      <c r="D163">
        <v>1.27</v>
      </c>
    </row>
    <row r="164" spans="1:4" x14ac:dyDescent="0.25">
      <c r="A164" s="3">
        <v>45802</v>
      </c>
      <c r="B164">
        <v>56.98</v>
      </c>
      <c r="C164" t="s">
        <v>6</v>
      </c>
      <c r="D164">
        <v>1.99</v>
      </c>
    </row>
    <row r="165" spans="1:4" x14ac:dyDescent="0.25">
      <c r="A165" s="3">
        <v>45803</v>
      </c>
      <c r="B165">
        <v>72.92</v>
      </c>
      <c r="C165" t="s">
        <v>5</v>
      </c>
      <c r="D165">
        <v>2.5499999999999998</v>
      </c>
    </row>
    <row r="166" spans="1:4" x14ac:dyDescent="0.25">
      <c r="A166" s="3">
        <v>45804</v>
      </c>
      <c r="B166">
        <v>64.040000000000006</v>
      </c>
      <c r="C166" t="s">
        <v>4</v>
      </c>
      <c r="D166">
        <v>2.2400000000000002</v>
      </c>
    </row>
    <row r="167" spans="1:4" x14ac:dyDescent="0.25">
      <c r="A167" s="3">
        <v>45805</v>
      </c>
      <c r="B167">
        <v>31.13</v>
      </c>
      <c r="C167" t="s">
        <v>6</v>
      </c>
      <c r="D167">
        <v>1.0900000000000001</v>
      </c>
    </row>
    <row r="168" spans="1:4" x14ac:dyDescent="0.25">
      <c r="A168" s="3">
        <v>45806</v>
      </c>
      <c r="B168">
        <v>89.59</v>
      </c>
      <c r="C168" t="s">
        <v>5</v>
      </c>
      <c r="D168">
        <v>3.13</v>
      </c>
    </row>
    <row r="169" spans="1:4" x14ac:dyDescent="0.25">
      <c r="A169" s="3">
        <v>45807</v>
      </c>
      <c r="B169">
        <v>84.51</v>
      </c>
      <c r="C169" t="s">
        <v>5</v>
      </c>
      <c r="D169">
        <v>2.95</v>
      </c>
    </row>
    <row r="170" spans="1:4" x14ac:dyDescent="0.25">
      <c r="A170" s="3">
        <v>45808</v>
      </c>
      <c r="B170">
        <v>82.02</v>
      </c>
      <c r="C170" t="s">
        <v>4</v>
      </c>
      <c r="D170">
        <v>2.87</v>
      </c>
    </row>
    <row r="171" spans="1:4" x14ac:dyDescent="0.25">
      <c r="A171" s="3">
        <v>45809</v>
      </c>
      <c r="B171">
        <v>76.77</v>
      </c>
      <c r="C171" t="s">
        <v>4</v>
      </c>
      <c r="D171">
        <v>2.68</v>
      </c>
    </row>
    <row r="172" spans="1:4" x14ac:dyDescent="0.25">
      <c r="A172" s="3">
        <v>45810</v>
      </c>
      <c r="B172">
        <v>23.06</v>
      </c>
      <c r="C172" t="s">
        <v>6</v>
      </c>
      <c r="D172">
        <v>0.81</v>
      </c>
    </row>
    <row r="173" spans="1:4" x14ac:dyDescent="0.25">
      <c r="A173" s="3">
        <v>45811</v>
      </c>
      <c r="B173">
        <v>30.39</v>
      </c>
      <c r="C173" t="s">
        <v>6</v>
      </c>
      <c r="D173">
        <v>1.06</v>
      </c>
    </row>
    <row r="174" spans="1:4" x14ac:dyDescent="0.25">
      <c r="A174" s="3">
        <v>45812</v>
      </c>
      <c r="B174">
        <v>75.75</v>
      </c>
      <c r="C174" t="s">
        <v>6</v>
      </c>
      <c r="D174">
        <v>2.65</v>
      </c>
    </row>
    <row r="175" spans="1:4" x14ac:dyDescent="0.25">
      <c r="A175" s="3">
        <v>45813</v>
      </c>
      <c r="B175">
        <v>19.149999999999999</v>
      </c>
      <c r="C175" t="s">
        <v>6</v>
      </c>
      <c r="D175">
        <v>0.67</v>
      </c>
    </row>
    <row r="176" spans="1:4" x14ac:dyDescent="0.25">
      <c r="A176" s="3">
        <v>45814</v>
      </c>
      <c r="B176">
        <v>55.19</v>
      </c>
      <c r="C176" t="s">
        <v>6</v>
      </c>
      <c r="D176">
        <v>1.93</v>
      </c>
    </row>
    <row r="177" spans="1:4" x14ac:dyDescent="0.25">
      <c r="A177" s="3">
        <v>45815</v>
      </c>
      <c r="B177">
        <v>26.53</v>
      </c>
      <c r="C177" t="s">
        <v>6</v>
      </c>
      <c r="D177">
        <v>0.93</v>
      </c>
    </row>
    <row r="178" spans="1:4" x14ac:dyDescent="0.25">
      <c r="A178" s="3">
        <v>45816</v>
      </c>
      <c r="B178">
        <v>44.47</v>
      </c>
      <c r="C178" t="s">
        <v>6</v>
      </c>
      <c r="D178">
        <v>1.55</v>
      </c>
    </row>
    <row r="179" spans="1:4" x14ac:dyDescent="0.25">
      <c r="A179" s="3">
        <v>45817</v>
      </c>
      <c r="B179">
        <v>34.69</v>
      </c>
      <c r="C179" t="s">
        <v>6</v>
      </c>
      <c r="D179">
        <v>1.21</v>
      </c>
    </row>
    <row r="180" spans="1:4" x14ac:dyDescent="0.25">
      <c r="A180" s="3">
        <v>45818</v>
      </c>
      <c r="B180">
        <v>66.88</v>
      </c>
      <c r="C180" t="s">
        <v>6</v>
      </c>
      <c r="D180">
        <v>2.34</v>
      </c>
    </row>
    <row r="181" spans="1:4" x14ac:dyDescent="0.25">
      <c r="A181" s="3">
        <v>45819</v>
      </c>
      <c r="B181">
        <v>79.36</v>
      </c>
      <c r="C181" t="s">
        <v>6</v>
      </c>
      <c r="D181">
        <v>2.77</v>
      </c>
    </row>
    <row r="182" spans="1:4" x14ac:dyDescent="0.25">
      <c r="A182" s="3">
        <v>45820</v>
      </c>
      <c r="B182">
        <v>73.05</v>
      </c>
      <c r="C182" t="s">
        <v>6</v>
      </c>
      <c r="D182">
        <v>2.5499999999999998</v>
      </c>
    </row>
    <row r="183" spans="1:4" x14ac:dyDescent="0.25">
      <c r="A183" s="3">
        <v>45821</v>
      </c>
      <c r="B183">
        <v>47.9</v>
      </c>
      <c r="C183" t="s">
        <v>6</v>
      </c>
      <c r="D183">
        <v>1.67</v>
      </c>
    </row>
    <row r="184" spans="1:4" x14ac:dyDescent="0.25">
      <c r="A184" s="3">
        <v>45822</v>
      </c>
      <c r="B184">
        <v>60.24</v>
      </c>
      <c r="C184" t="s">
        <v>6</v>
      </c>
      <c r="D184">
        <v>2.11</v>
      </c>
    </row>
    <row r="185" spans="1:4" x14ac:dyDescent="0.25">
      <c r="A185" s="3">
        <v>45823</v>
      </c>
      <c r="B185">
        <v>40.4</v>
      </c>
      <c r="C185" t="s">
        <v>6</v>
      </c>
      <c r="D185">
        <v>1.41</v>
      </c>
    </row>
    <row r="186" spans="1:4" x14ac:dyDescent="0.25">
      <c r="A186" s="3">
        <v>45824</v>
      </c>
      <c r="B186">
        <v>63.11</v>
      </c>
      <c r="C186" t="s">
        <v>5</v>
      </c>
      <c r="D186">
        <v>2.21</v>
      </c>
    </row>
    <row r="187" spans="1:4" x14ac:dyDescent="0.25">
      <c r="A187" s="3">
        <v>45825</v>
      </c>
      <c r="B187">
        <v>69.12</v>
      </c>
      <c r="C187" t="s">
        <v>4</v>
      </c>
      <c r="D187">
        <v>2.42</v>
      </c>
    </row>
    <row r="188" spans="1:4" x14ac:dyDescent="0.25">
      <c r="A188" s="3">
        <v>45826</v>
      </c>
      <c r="B188">
        <v>69.239999999999995</v>
      </c>
      <c r="C188" t="s">
        <v>4</v>
      </c>
      <c r="D188">
        <v>2.42</v>
      </c>
    </row>
    <row r="189" spans="1:4" x14ac:dyDescent="0.25">
      <c r="A189" s="3">
        <v>45827</v>
      </c>
      <c r="B189">
        <v>38.94</v>
      </c>
      <c r="C189" t="s">
        <v>4</v>
      </c>
      <c r="D189">
        <v>1.36</v>
      </c>
    </row>
    <row r="190" spans="1:4" x14ac:dyDescent="0.25">
      <c r="A190" s="3">
        <v>45828</v>
      </c>
      <c r="B190">
        <v>35.06</v>
      </c>
      <c r="C190" t="s">
        <v>6</v>
      </c>
      <c r="D190">
        <v>1.23</v>
      </c>
    </row>
    <row r="191" spans="1:4" x14ac:dyDescent="0.25">
      <c r="A191" s="3">
        <v>45829</v>
      </c>
      <c r="B191">
        <v>78.87</v>
      </c>
      <c r="C191" t="s">
        <v>6</v>
      </c>
      <c r="D191">
        <v>2.76</v>
      </c>
    </row>
    <row r="192" spans="1:4" x14ac:dyDescent="0.25">
      <c r="A192" s="3">
        <v>45830</v>
      </c>
      <c r="B192">
        <v>35.619999999999997</v>
      </c>
      <c r="C192" t="s">
        <v>6</v>
      </c>
      <c r="D192">
        <v>1.25</v>
      </c>
    </row>
    <row r="193" spans="1:4" x14ac:dyDescent="0.25">
      <c r="A193" s="3">
        <v>45831</v>
      </c>
      <c r="B193">
        <v>21.79</v>
      </c>
      <c r="C193" t="s">
        <v>6</v>
      </c>
      <c r="D193">
        <v>0.76</v>
      </c>
    </row>
    <row r="194" spans="1:4" x14ac:dyDescent="0.25">
      <c r="A194" s="3">
        <v>45832</v>
      </c>
      <c r="B194">
        <v>87.73</v>
      </c>
      <c r="C194" t="s">
        <v>5</v>
      </c>
      <c r="D194">
        <v>3.07</v>
      </c>
    </row>
    <row r="195" spans="1:4" x14ac:dyDescent="0.25">
      <c r="A195" s="3">
        <v>45833</v>
      </c>
      <c r="B195">
        <v>84.34</v>
      </c>
      <c r="C195" t="s">
        <v>5</v>
      </c>
      <c r="D195">
        <v>2.95</v>
      </c>
    </row>
    <row r="196" spans="1:4" x14ac:dyDescent="0.25">
      <c r="A196" s="3">
        <v>45834</v>
      </c>
      <c r="B196">
        <v>6.16</v>
      </c>
      <c r="C196" t="s">
        <v>6</v>
      </c>
      <c r="D196">
        <v>0.22</v>
      </c>
    </row>
    <row r="197" spans="1:4" x14ac:dyDescent="0.25">
      <c r="A197" s="3">
        <v>45835</v>
      </c>
      <c r="B197">
        <v>60.98</v>
      </c>
      <c r="C197" t="s">
        <v>6</v>
      </c>
      <c r="D197">
        <v>2.13</v>
      </c>
    </row>
    <row r="198" spans="1:4" x14ac:dyDescent="0.25">
      <c r="A198" s="3">
        <v>45836</v>
      </c>
      <c r="B198">
        <v>12.93</v>
      </c>
      <c r="C198" t="s">
        <v>6</v>
      </c>
      <c r="D198">
        <v>0.45</v>
      </c>
    </row>
    <row r="199" spans="1:4" x14ac:dyDescent="0.25">
      <c r="A199" s="3">
        <v>45837</v>
      </c>
      <c r="B199">
        <v>40.76</v>
      </c>
      <c r="C199" t="s">
        <v>6</v>
      </c>
      <c r="D199">
        <v>1.43</v>
      </c>
    </row>
    <row r="200" spans="1:4" x14ac:dyDescent="0.25">
      <c r="A200" s="3">
        <v>45838</v>
      </c>
      <c r="B200">
        <v>17.43</v>
      </c>
      <c r="C200" t="s">
        <v>6</v>
      </c>
      <c r="D200">
        <v>0.61</v>
      </c>
    </row>
    <row r="201" spans="1:4" x14ac:dyDescent="0.25">
      <c r="A201" s="3">
        <v>45839</v>
      </c>
      <c r="B201">
        <v>25.48</v>
      </c>
      <c r="C201" t="s">
        <v>6</v>
      </c>
      <c r="D201">
        <v>0.89</v>
      </c>
    </row>
    <row r="202" spans="1:4" x14ac:dyDescent="0.25">
      <c r="A202" s="3">
        <v>45840</v>
      </c>
      <c r="B202">
        <v>47.71</v>
      </c>
      <c r="C202" t="s">
        <v>6</v>
      </c>
      <c r="D202">
        <v>1.67</v>
      </c>
    </row>
    <row r="203" spans="1:4" x14ac:dyDescent="0.25">
      <c r="A203" s="3">
        <v>45841</v>
      </c>
      <c r="B203">
        <v>68.099999999999994</v>
      </c>
      <c r="C203" t="s">
        <v>6</v>
      </c>
      <c r="D203">
        <v>2.38</v>
      </c>
    </row>
    <row r="204" spans="1:4" x14ac:dyDescent="0.25">
      <c r="A204" s="3">
        <v>45842</v>
      </c>
      <c r="B204">
        <v>50.01</v>
      </c>
      <c r="C204" t="s">
        <v>6</v>
      </c>
      <c r="D204">
        <v>1.75</v>
      </c>
    </row>
    <row r="205" spans="1:4" x14ac:dyDescent="0.25">
      <c r="A205" s="3">
        <v>45843</v>
      </c>
      <c r="B205">
        <v>59.37</v>
      </c>
      <c r="C205" t="s">
        <v>4</v>
      </c>
      <c r="D205">
        <v>2.08</v>
      </c>
    </row>
    <row r="206" spans="1:4" x14ac:dyDescent="0.25">
      <c r="A206" s="3">
        <v>45844</v>
      </c>
      <c r="B206">
        <v>77.739999999999995</v>
      </c>
      <c r="C206" t="s">
        <v>4</v>
      </c>
      <c r="D206">
        <v>2.72</v>
      </c>
    </row>
    <row r="207" spans="1:4" x14ac:dyDescent="0.25">
      <c r="A207" s="3">
        <v>45845</v>
      </c>
      <c r="B207">
        <v>81.13</v>
      </c>
      <c r="C207" t="s">
        <v>5</v>
      </c>
      <c r="D207">
        <v>2.84</v>
      </c>
    </row>
    <row r="208" spans="1:4" x14ac:dyDescent="0.25">
      <c r="A208" s="3">
        <v>45846</v>
      </c>
      <c r="B208">
        <v>78.97</v>
      </c>
      <c r="C208" t="s">
        <v>5</v>
      </c>
      <c r="D208">
        <v>2.76</v>
      </c>
    </row>
    <row r="209" spans="1:4" x14ac:dyDescent="0.25">
      <c r="A209" s="3">
        <v>45847</v>
      </c>
      <c r="B209">
        <v>79.22</v>
      </c>
      <c r="C209" t="s">
        <v>5</v>
      </c>
      <c r="D209">
        <v>2.77</v>
      </c>
    </row>
    <row r="210" spans="1:4" x14ac:dyDescent="0.25">
      <c r="A210" s="3">
        <v>45848</v>
      </c>
      <c r="B210">
        <v>73.319999999999993</v>
      </c>
      <c r="C210" t="s">
        <v>5</v>
      </c>
      <c r="D210">
        <v>2.56</v>
      </c>
    </row>
    <row r="211" spans="1:4" x14ac:dyDescent="0.25">
      <c r="A211" s="3">
        <v>45849</v>
      </c>
      <c r="B211">
        <v>57.36</v>
      </c>
      <c r="C211" t="s">
        <v>5</v>
      </c>
      <c r="D211">
        <v>2.0099999999999998</v>
      </c>
    </row>
    <row r="212" spans="1:4" x14ac:dyDescent="0.25">
      <c r="A212" s="3">
        <v>45850</v>
      </c>
      <c r="B212">
        <v>38.42</v>
      </c>
      <c r="C212" t="s">
        <v>5</v>
      </c>
      <c r="D212">
        <v>1.34</v>
      </c>
    </row>
    <row r="213" spans="1:4" x14ac:dyDescent="0.25">
      <c r="A213" s="3">
        <v>45851</v>
      </c>
      <c r="B213">
        <v>72.290000000000006</v>
      </c>
      <c r="C213" t="s">
        <v>4</v>
      </c>
      <c r="D213">
        <v>2.5299999999999998</v>
      </c>
    </row>
    <row r="214" spans="1:4" x14ac:dyDescent="0.25">
      <c r="A214" s="3">
        <v>45852</v>
      </c>
      <c r="B214">
        <v>74.42</v>
      </c>
      <c r="C214" t="s">
        <v>5</v>
      </c>
      <c r="D214">
        <v>2.6</v>
      </c>
    </row>
    <row r="215" spans="1:4" x14ac:dyDescent="0.25">
      <c r="A215" s="3">
        <v>45853</v>
      </c>
      <c r="B215">
        <v>76.64</v>
      </c>
      <c r="C215" t="s">
        <v>5</v>
      </c>
      <c r="D215">
        <v>2.68</v>
      </c>
    </row>
    <row r="216" spans="1:4" x14ac:dyDescent="0.25">
      <c r="A216" s="3">
        <v>45854</v>
      </c>
      <c r="B216">
        <v>71.48</v>
      </c>
      <c r="C216" t="s">
        <v>5</v>
      </c>
      <c r="D216">
        <v>2.5</v>
      </c>
    </row>
    <row r="217" spans="1:4" x14ac:dyDescent="0.25">
      <c r="A217" s="3">
        <v>45855</v>
      </c>
      <c r="B217">
        <v>68.34</v>
      </c>
      <c r="C217" t="s">
        <v>4</v>
      </c>
      <c r="D217">
        <v>2.39</v>
      </c>
    </row>
    <row r="218" spans="1:4" x14ac:dyDescent="0.25">
      <c r="A218" s="3">
        <v>45856</v>
      </c>
      <c r="B218">
        <v>82.37</v>
      </c>
      <c r="C218" t="s">
        <v>5</v>
      </c>
      <c r="D218">
        <v>2.88</v>
      </c>
    </row>
    <row r="219" spans="1:4" x14ac:dyDescent="0.25">
      <c r="A219" s="3">
        <v>45857</v>
      </c>
      <c r="B219">
        <v>72.930000000000007</v>
      </c>
      <c r="C219" t="s">
        <v>5</v>
      </c>
      <c r="D219">
        <v>2.5499999999999998</v>
      </c>
    </row>
    <row r="220" spans="1:4" x14ac:dyDescent="0.25">
      <c r="A220" s="3">
        <v>45858</v>
      </c>
      <c r="B220">
        <v>82.06</v>
      </c>
      <c r="C220" t="s">
        <v>4</v>
      </c>
      <c r="D220">
        <v>2.87</v>
      </c>
    </row>
    <row r="221" spans="1:4" x14ac:dyDescent="0.25">
      <c r="A221" s="3">
        <v>45859</v>
      </c>
      <c r="B221">
        <v>82.81</v>
      </c>
      <c r="C221" t="s">
        <v>5</v>
      </c>
      <c r="D221">
        <v>2.9</v>
      </c>
    </row>
    <row r="222" spans="1:4" x14ac:dyDescent="0.25">
      <c r="A222" s="3">
        <v>45860</v>
      </c>
      <c r="B222">
        <v>79.37</v>
      </c>
      <c r="C222" t="s">
        <v>5</v>
      </c>
      <c r="D222">
        <v>2.78</v>
      </c>
    </row>
    <row r="223" spans="1:4" x14ac:dyDescent="0.25">
      <c r="A223" s="3">
        <v>45861</v>
      </c>
      <c r="B223">
        <v>48.8</v>
      </c>
      <c r="C223" t="s">
        <v>4</v>
      </c>
      <c r="D223">
        <v>1.71</v>
      </c>
    </row>
    <row r="224" spans="1:4" x14ac:dyDescent="0.25">
      <c r="A224" s="3">
        <v>45862</v>
      </c>
      <c r="B224">
        <v>6.15</v>
      </c>
      <c r="C224" t="s">
        <v>6</v>
      </c>
      <c r="D224">
        <v>0.22</v>
      </c>
    </row>
    <row r="225" spans="1:4" x14ac:dyDescent="0.25">
      <c r="A225" s="3">
        <v>45863</v>
      </c>
      <c r="B225">
        <v>18.03</v>
      </c>
      <c r="C225" t="s">
        <v>6</v>
      </c>
      <c r="D225">
        <v>0.63</v>
      </c>
    </row>
    <row r="226" spans="1:4" x14ac:dyDescent="0.25">
      <c r="A226" s="3">
        <v>45864</v>
      </c>
      <c r="B226">
        <v>63.34</v>
      </c>
      <c r="C226" t="s">
        <v>4</v>
      </c>
      <c r="D226">
        <v>2.21</v>
      </c>
    </row>
    <row r="227" spans="1:4" x14ac:dyDescent="0.25">
      <c r="A227" s="3">
        <v>45865</v>
      </c>
      <c r="B227">
        <v>25.53</v>
      </c>
      <c r="C227" t="s">
        <v>4</v>
      </c>
      <c r="D227">
        <v>0.89</v>
      </c>
    </row>
    <row r="228" spans="1:4" x14ac:dyDescent="0.25">
      <c r="A228" s="3">
        <v>45866</v>
      </c>
      <c r="B228">
        <v>85.7</v>
      </c>
      <c r="C228" t="s">
        <v>6</v>
      </c>
      <c r="D228">
        <v>3</v>
      </c>
    </row>
    <row r="229" spans="1:4" x14ac:dyDescent="0.25">
      <c r="A229" s="3">
        <v>45867</v>
      </c>
      <c r="B229">
        <v>89.44</v>
      </c>
      <c r="C229" t="s">
        <v>5</v>
      </c>
      <c r="D229">
        <v>3.13</v>
      </c>
    </row>
    <row r="230" spans="1:4" x14ac:dyDescent="0.25">
      <c r="A230" s="3">
        <v>45868</v>
      </c>
      <c r="B230">
        <v>91.97</v>
      </c>
      <c r="C230" t="s">
        <v>4</v>
      </c>
      <c r="D230">
        <v>3.22</v>
      </c>
    </row>
    <row r="231" spans="1:4" x14ac:dyDescent="0.25">
      <c r="A231" s="3">
        <v>45869</v>
      </c>
      <c r="B231">
        <v>90.85</v>
      </c>
      <c r="C231" t="s">
        <v>5</v>
      </c>
      <c r="D231">
        <v>3.18</v>
      </c>
    </row>
    <row r="232" spans="1:4" x14ac:dyDescent="0.25">
      <c r="A232" s="3">
        <v>45870</v>
      </c>
      <c r="B232">
        <v>54.79</v>
      </c>
      <c r="C232" t="s">
        <v>4</v>
      </c>
      <c r="D232">
        <v>1.92</v>
      </c>
    </row>
    <row r="233" spans="1:4" x14ac:dyDescent="0.25">
      <c r="A233" s="3">
        <v>45871</v>
      </c>
      <c r="B233">
        <v>69.7</v>
      </c>
      <c r="C233" t="s">
        <v>4</v>
      </c>
      <c r="D233">
        <v>2.44</v>
      </c>
    </row>
    <row r="234" spans="1:4" x14ac:dyDescent="0.25">
      <c r="A234" s="3">
        <v>45872</v>
      </c>
      <c r="B234">
        <v>45.45</v>
      </c>
      <c r="C234" t="s">
        <v>6</v>
      </c>
      <c r="D234">
        <v>1.59</v>
      </c>
    </row>
    <row r="235" spans="1:4" x14ac:dyDescent="0.25">
      <c r="A235" s="3">
        <v>45873</v>
      </c>
      <c r="B235">
        <v>24.9</v>
      </c>
      <c r="C235" t="s">
        <v>6</v>
      </c>
      <c r="D235">
        <v>0.87</v>
      </c>
    </row>
    <row r="236" spans="1:4" x14ac:dyDescent="0.25">
      <c r="A236" s="3">
        <v>45874</v>
      </c>
      <c r="B236">
        <v>16.47</v>
      </c>
      <c r="C236" t="s">
        <v>6</v>
      </c>
      <c r="D236">
        <v>0.57999999999999996</v>
      </c>
    </row>
    <row r="237" spans="1:4" x14ac:dyDescent="0.25">
      <c r="A237" s="3">
        <v>45875</v>
      </c>
      <c r="B237">
        <v>63.54</v>
      </c>
      <c r="C237" t="s">
        <v>6</v>
      </c>
      <c r="D237">
        <v>2.2200000000000002</v>
      </c>
    </row>
    <row r="238" spans="1:4" x14ac:dyDescent="0.25">
      <c r="A238" s="3">
        <v>45876</v>
      </c>
      <c r="B238">
        <v>78.47</v>
      </c>
      <c r="C238" t="s">
        <v>6</v>
      </c>
      <c r="D238">
        <v>2.74</v>
      </c>
    </row>
    <row r="239" spans="1:4" x14ac:dyDescent="0.25">
      <c r="A239" s="3">
        <v>45877</v>
      </c>
      <c r="B239">
        <v>12.5</v>
      </c>
      <c r="C239" t="s">
        <v>6</v>
      </c>
      <c r="D239">
        <v>0.44</v>
      </c>
    </row>
    <row r="240" spans="1:4" x14ac:dyDescent="0.25">
      <c r="A240" s="3">
        <v>45878</v>
      </c>
      <c r="B240">
        <v>75.33</v>
      </c>
      <c r="C240" t="s">
        <v>5</v>
      </c>
      <c r="D240">
        <v>2.63</v>
      </c>
    </row>
    <row r="241" spans="1:4" x14ac:dyDescent="0.25">
      <c r="A241" s="3">
        <v>45879</v>
      </c>
      <c r="B241">
        <v>100.31</v>
      </c>
      <c r="C241" t="s">
        <v>5</v>
      </c>
      <c r="D241">
        <v>3.51</v>
      </c>
    </row>
    <row r="242" spans="1:4" x14ac:dyDescent="0.25">
      <c r="A242" s="3">
        <v>45880</v>
      </c>
      <c r="B242">
        <v>100.25</v>
      </c>
      <c r="C242" t="s">
        <v>5</v>
      </c>
      <c r="D242">
        <v>3.51</v>
      </c>
    </row>
    <row r="243" spans="1:4" x14ac:dyDescent="0.25">
      <c r="A243" s="3">
        <v>45881</v>
      </c>
      <c r="B243">
        <v>100.37</v>
      </c>
      <c r="C243" t="s">
        <v>5</v>
      </c>
      <c r="D243">
        <v>3.51</v>
      </c>
    </row>
    <row r="244" spans="1:4" x14ac:dyDescent="0.25">
      <c r="A244" s="3">
        <v>45882</v>
      </c>
      <c r="B244">
        <v>100.45</v>
      </c>
      <c r="C244" t="s">
        <v>5</v>
      </c>
      <c r="D244">
        <v>3.51</v>
      </c>
    </row>
    <row r="245" spans="1:4" x14ac:dyDescent="0.25">
      <c r="A245" s="3">
        <v>45883</v>
      </c>
      <c r="B245">
        <v>81.900000000000006</v>
      </c>
      <c r="C245" t="s">
        <v>5</v>
      </c>
      <c r="D245">
        <v>2.86</v>
      </c>
    </row>
    <row r="246" spans="1:4" x14ac:dyDescent="0.25">
      <c r="A246" s="3">
        <v>45884</v>
      </c>
      <c r="B246">
        <v>59.18</v>
      </c>
      <c r="C246" t="s">
        <v>6</v>
      </c>
      <c r="D246">
        <v>2.0699999999999998</v>
      </c>
    </row>
    <row r="247" spans="1:4" x14ac:dyDescent="0.25">
      <c r="A247" s="3">
        <v>45885</v>
      </c>
      <c r="B247">
        <v>42.33</v>
      </c>
      <c r="C247" t="s">
        <v>4</v>
      </c>
      <c r="D247">
        <v>1.48</v>
      </c>
    </row>
    <row r="248" spans="1:4" x14ac:dyDescent="0.25">
      <c r="A248" s="3">
        <v>45886</v>
      </c>
      <c r="B248">
        <v>87.1</v>
      </c>
      <c r="C248" t="s">
        <v>5</v>
      </c>
      <c r="D248">
        <v>3.05</v>
      </c>
    </row>
    <row r="249" spans="1:4" x14ac:dyDescent="0.25">
      <c r="A249" s="3">
        <v>45887</v>
      </c>
      <c r="B249">
        <v>93.84</v>
      </c>
      <c r="C249" t="s">
        <v>6</v>
      </c>
      <c r="D249">
        <v>3.28</v>
      </c>
    </row>
    <row r="250" spans="1:4" x14ac:dyDescent="0.25">
      <c r="A250" s="3">
        <v>45888</v>
      </c>
      <c r="B250">
        <v>36.71</v>
      </c>
      <c r="C250" t="s">
        <v>6</v>
      </c>
      <c r="D250">
        <v>1.28</v>
      </c>
    </row>
    <row r="251" spans="1:4" x14ac:dyDescent="0.25">
      <c r="A251" s="3">
        <v>45889</v>
      </c>
      <c r="B251">
        <v>46.43</v>
      </c>
      <c r="C251" t="s">
        <v>6</v>
      </c>
      <c r="D251">
        <v>1.62</v>
      </c>
    </row>
    <row r="252" spans="1:4" x14ac:dyDescent="0.25">
      <c r="A252" s="3">
        <v>45890</v>
      </c>
      <c r="B252">
        <v>98.14</v>
      </c>
      <c r="C252" t="s">
        <v>5</v>
      </c>
      <c r="D252">
        <v>3.43</v>
      </c>
    </row>
    <row r="253" spans="1:4" x14ac:dyDescent="0.25">
      <c r="A253" s="3">
        <v>45891</v>
      </c>
      <c r="B253">
        <v>89.01</v>
      </c>
      <c r="C253" t="s">
        <v>5</v>
      </c>
      <c r="D253">
        <v>3.11</v>
      </c>
    </row>
    <row r="254" spans="1:4" x14ac:dyDescent="0.25">
      <c r="A254" s="3">
        <v>45892</v>
      </c>
      <c r="B254">
        <v>78.010000000000005</v>
      </c>
      <c r="C254" t="s">
        <v>4</v>
      </c>
      <c r="D254">
        <v>2.73</v>
      </c>
    </row>
    <row r="255" spans="1:4" x14ac:dyDescent="0.25">
      <c r="A255" s="3">
        <v>45893</v>
      </c>
      <c r="B255">
        <v>13.21</v>
      </c>
      <c r="C255" t="s">
        <v>6</v>
      </c>
      <c r="D255">
        <v>0.46</v>
      </c>
    </row>
    <row r="256" spans="1:4" x14ac:dyDescent="0.25">
      <c r="A256" s="3">
        <v>45894</v>
      </c>
      <c r="B256">
        <v>28.36</v>
      </c>
      <c r="C256" t="s">
        <v>4</v>
      </c>
      <c r="D256">
        <v>0.99</v>
      </c>
    </row>
    <row r="257" spans="1:4" x14ac:dyDescent="0.25">
      <c r="A257" s="3">
        <v>45895</v>
      </c>
      <c r="B257">
        <v>14.13</v>
      </c>
      <c r="C257" t="s">
        <v>6</v>
      </c>
      <c r="D257">
        <v>0.49</v>
      </c>
    </row>
    <row r="258" spans="1:4" x14ac:dyDescent="0.25">
      <c r="A258" s="3">
        <v>45896</v>
      </c>
      <c r="B258">
        <v>43.16</v>
      </c>
      <c r="C258" t="s">
        <v>6</v>
      </c>
      <c r="D258">
        <v>1.51</v>
      </c>
    </row>
    <row r="259" spans="1:4" x14ac:dyDescent="0.25">
      <c r="A259" s="3">
        <v>45897</v>
      </c>
      <c r="B259">
        <v>76.38</v>
      </c>
      <c r="C259" t="s">
        <v>6</v>
      </c>
      <c r="D259">
        <v>2.67</v>
      </c>
    </row>
    <row r="260" spans="1:4" x14ac:dyDescent="0.25">
      <c r="A260" s="3">
        <v>45898</v>
      </c>
      <c r="B260">
        <v>71.44</v>
      </c>
      <c r="C260" t="s">
        <v>4</v>
      </c>
      <c r="D260">
        <v>2.5</v>
      </c>
    </row>
    <row r="261" spans="1:4" x14ac:dyDescent="0.25">
      <c r="A261" s="3">
        <v>45899</v>
      </c>
      <c r="B261">
        <v>71.53</v>
      </c>
      <c r="C261" t="s">
        <v>6</v>
      </c>
      <c r="D261">
        <v>2.5</v>
      </c>
    </row>
    <row r="262" spans="1:4" x14ac:dyDescent="0.25">
      <c r="A262" s="3">
        <v>45900</v>
      </c>
      <c r="B262">
        <v>71.540000000000006</v>
      </c>
      <c r="C262" t="s">
        <v>6</v>
      </c>
      <c r="D262">
        <v>2.5</v>
      </c>
    </row>
    <row r="263" spans="1:4" x14ac:dyDescent="0.25">
      <c r="A263" s="3">
        <v>45901</v>
      </c>
      <c r="B263">
        <v>64.53</v>
      </c>
      <c r="C263" t="s">
        <v>6</v>
      </c>
      <c r="D263">
        <v>2.2599999999999998</v>
      </c>
    </row>
    <row r="264" spans="1:4" x14ac:dyDescent="0.25">
      <c r="A264" s="3">
        <v>45902</v>
      </c>
      <c r="B264">
        <v>19.91</v>
      </c>
      <c r="C264" t="s">
        <v>6</v>
      </c>
      <c r="D264">
        <v>0.7</v>
      </c>
    </row>
    <row r="265" spans="1:4" x14ac:dyDescent="0.25">
      <c r="A265" s="3">
        <v>45903</v>
      </c>
      <c r="B265">
        <v>55.59</v>
      </c>
      <c r="C265" t="s">
        <v>6</v>
      </c>
      <c r="D265">
        <v>1.94</v>
      </c>
    </row>
    <row r="266" spans="1:4" x14ac:dyDescent="0.25">
      <c r="A266" s="3">
        <v>45904</v>
      </c>
      <c r="B266">
        <v>64.17</v>
      </c>
      <c r="C266" t="s">
        <v>4</v>
      </c>
      <c r="D266">
        <v>2.2400000000000002</v>
      </c>
    </row>
    <row r="267" spans="1:4" x14ac:dyDescent="0.25">
      <c r="A267" s="3">
        <v>45905</v>
      </c>
      <c r="B267">
        <v>16.87</v>
      </c>
      <c r="C267" t="s">
        <v>6</v>
      </c>
      <c r="D267">
        <v>0.59</v>
      </c>
    </row>
    <row r="268" spans="1:4" x14ac:dyDescent="0.25">
      <c r="A268" s="3">
        <v>45906</v>
      </c>
      <c r="B268">
        <v>50.47</v>
      </c>
      <c r="C268" t="s">
        <v>6</v>
      </c>
      <c r="D268">
        <v>1.76</v>
      </c>
    </row>
    <row r="269" spans="1:4" x14ac:dyDescent="0.25">
      <c r="A269" s="3">
        <v>45907</v>
      </c>
      <c r="B269">
        <v>29.02</v>
      </c>
      <c r="C269" t="s">
        <v>6</v>
      </c>
      <c r="D269">
        <v>1.01</v>
      </c>
    </row>
    <row r="270" spans="1:4" x14ac:dyDescent="0.25">
      <c r="A270" s="3">
        <v>45908</v>
      </c>
      <c r="B270">
        <v>15.4</v>
      </c>
      <c r="C270" t="s">
        <v>6</v>
      </c>
      <c r="D270">
        <v>0.54</v>
      </c>
    </row>
    <row r="271" spans="1:4" x14ac:dyDescent="0.25">
      <c r="A271" s="3">
        <v>45909</v>
      </c>
      <c r="B271">
        <v>69.03</v>
      </c>
      <c r="C271" t="s">
        <v>6</v>
      </c>
      <c r="D271">
        <v>2.41</v>
      </c>
    </row>
    <row r="272" spans="1:4" x14ac:dyDescent="0.25">
      <c r="A272" s="3">
        <v>45910</v>
      </c>
      <c r="B272">
        <v>111</v>
      </c>
      <c r="C272" t="s">
        <v>5</v>
      </c>
      <c r="D272">
        <v>3.88</v>
      </c>
    </row>
    <row r="273" spans="1:4" x14ac:dyDescent="0.25">
      <c r="A273" s="3">
        <v>45911</v>
      </c>
      <c r="B273">
        <v>121.56</v>
      </c>
      <c r="C273" t="s">
        <v>5</v>
      </c>
      <c r="D273">
        <v>4.25</v>
      </c>
    </row>
    <row r="274" spans="1:4" x14ac:dyDescent="0.25">
      <c r="A274" s="3">
        <v>45912</v>
      </c>
      <c r="B274">
        <v>83.36</v>
      </c>
      <c r="C274" t="s">
        <v>4</v>
      </c>
      <c r="D274">
        <v>2.91</v>
      </c>
    </row>
    <row r="275" spans="1:4" x14ac:dyDescent="0.25">
      <c r="A275" s="3">
        <v>45913</v>
      </c>
      <c r="B275">
        <v>124.9</v>
      </c>
      <c r="C275" t="s">
        <v>5</v>
      </c>
      <c r="D275">
        <v>4.37</v>
      </c>
    </row>
    <row r="276" spans="1:4" x14ac:dyDescent="0.25">
      <c r="A276" s="3">
        <v>45914</v>
      </c>
      <c r="B276">
        <v>80.819999999999993</v>
      </c>
      <c r="C276" t="s">
        <v>4</v>
      </c>
      <c r="D276">
        <v>2.83</v>
      </c>
    </row>
    <row r="277" spans="1:4" x14ac:dyDescent="0.25">
      <c r="A277" s="3">
        <v>45915</v>
      </c>
      <c r="B277">
        <v>113.4</v>
      </c>
      <c r="C277" t="s">
        <v>4</v>
      </c>
      <c r="D277">
        <v>3.97</v>
      </c>
    </row>
    <row r="278" spans="1:4" x14ac:dyDescent="0.25">
      <c r="A278" s="3">
        <v>45916</v>
      </c>
      <c r="B278">
        <v>92.98</v>
      </c>
      <c r="C278" t="s">
        <v>6</v>
      </c>
      <c r="D278">
        <v>3.25</v>
      </c>
    </row>
    <row r="279" spans="1:4" x14ac:dyDescent="0.25">
      <c r="A279" s="3">
        <v>45917</v>
      </c>
      <c r="B279">
        <v>93.66</v>
      </c>
      <c r="C279" t="s">
        <v>6</v>
      </c>
      <c r="D279">
        <v>3.27</v>
      </c>
    </row>
    <row r="280" spans="1:4" x14ac:dyDescent="0.25">
      <c r="A280" s="3">
        <v>45918</v>
      </c>
      <c r="B280">
        <v>102.27</v>
      </c>
      <c r="C280" t="s">
        <v>6</v>
      </c>
      <c r="D280">
        <v>3.58</v>
      </c>
    </row>
    <row r="281" spans="1:4" x14ac:dyDescent="0.25">
      <c r="A281" s="3">
        <v>45919</v>
      </c>
      <c r="B281">
        <v>76.7</v>
      </c>
      <c r="C281" t="s">
        <v>4</v>
      </c>
      <c r="D281">
        <v>2.68</v>
      </c>
    </row>
    <row r="282" spans="1:4" x14ac:dyDescent="0.25">
      <c r="A282" s="3">
        <v>45920</v>
      </c>
      <c r="B282">
        <v>110.16</v>
      </c>
      <c r="C282" t="s">
        <v>5</v>
      </c>
      <c r="D282">
        <v>3.85</v>
      </c>
    </row>
    <row r="283" spans="1:4" x14ac:dyDescent="0.25">
      <c r="A283" s="3">
        <v>45921</v>
      </c>
      <c r="B283">
        <v>50.28</v>
      </c>
      <c r="C283" t="s">
        <v>6</v>
      </c>
      <c r="D283">
        <v>1.76</v>
      </c>
    </row>
    <row r="284" spans="1:4" x14ac:dyDescent="0.25">
      <c r="A284" s="3">
        <v>45922</v>
      </c>
      <c r="B284">
        <v>27.4</v>
      </c>
      <c r="C284" t="s">
        <v>6</v>
      </c>
      <c r="D284">
        <v>0.96</v>
      </c>
    </row>
    <row r="285" spans="1:4" x14ac:dyDescent="0.25">
      <c r="A285" s="3">
        <v>45923</v>
      </c>
      <c r="B285">
        <v>137.13999999999999</v>
      </c>
      <c r="C285" t="s">
        <v>5</v>
      </c>
      <c r="D285">
        <v>4.8</v>
      </c>
    </row>
    <row r="286" spans="1:4" x14ac:dyDescent="0.25">
      <c r="A286" s="3">
        <v>45924</v>
      </c>
      <c r="B286">
        <v>135.22</v>
      </c>
      <c r="C286" t="s">
        <v>6</v>
      </c>
      <c r="D286">
        <v>4.7300000000000004</v>
      </c>
    </row>
    <row r="287" spans="1:4" x14ac:dyDescent="0.25">
      <c r="A287" s="3">
        <v>45925</v>
      </c>
      <c r="B287">
        <v>39.799999999999997</v>
      </c>
      <c r="C287" t="s">
        <v>6</v>
      </c>
      <c r="D287">
        <v>1.39</v>
      </c>
    </row>
    <row r="288" spans="1:4" x14ac:dyDescent="0.25">
      <c r="A288" s="3">
        <v>45926</v>
      </c>
      <c r="B288">
        <v>135.32</v>
      </c>
      <c r="C288" t="s">
        <v>6</v>
      </c>
      <c r="D288">
        <v>4.7300000000000004</v>
      </c>
    </row>
    <row r="289" spans="1:4" x14ac:dyDescent="0.25">
      <c r="A289" s="3">
        <v>45927</v>
      </c>
      <c r="B289">
        <v>53.19</v>
      </c>
      <c r="C289" t="s">
        <v>6</v>
      </c>
      <c r="D289">
        <v>1.86</v>
      </c>
    </row>
    <row r="290" spans="1:4" x14ac:dyDescent="0.25">
      <c r="A290" s="3">
        <v>45928</v>
      </c>
      <c r="B290">
        <v>58.3</v>
      </c>
      <c r="C290" t="s">
        <v>6</v>
      </c>
      <c r="D290">
        <v>2.04</v>
      </c>
    </row>
    <row r="291" spans="1:4" x14ac:dyDescent="0.25">
      <c r="A291" s="3">
        <v>45929</v>
      </c>
      <c r="B291">
        <v>136.51</v>
      </c>
      <c r="C291" t="s">
        <v>5</v>
      </c>
      <c r="D291">
        <v>4.7699999999999996</v>
      </c>
    </row>
    <row r="292" spans="1:4" x14ac:dyDescent="0.25">
      <c r="A292" s="3">
        <v>45930</v>
      </c>
      <c r="B292">
        <v>97.71</v>
      </c>
      <c r="C292" t="s">
        <v>6</v>
      </c>
      <c r="D292">
        <v>3.42</v>
      </c>
    </row>
    <row r="293" spans="1:4" x14ac:dyDescent="0.25">
      <c r="A293" s="3">
        <v>45931</v>
      </c>
      <c r="B293">
        <v>37.729999999999997</v>
      </c>
      <c r="C293" t="s">
        <v>6</v>
      </c>
      <c r="D293">
        <v>1.32</v>
      </c>
    </row>
    <row r="294" spans="1:4" x14ac:dyDescent="0.25">
      <c r="A294" s="3">
        <v>45932</v>
      </c>
      <c r="B294">
        <v>40.200000000000003</v>
      </c>
      <c r="C294" t="s">
        <v>6</v>
      </c>
      <c r="D294">
        <v>1.41</v>
      </c>
    </row>
    <row r="295" spans="1:4" x14ac:dyDescent="0.25">
      <c r="A295" s="3">
        <v>45933</v>
      </c>
      <c r="B295">
        <v>14.13</v>
      </c>
      <c r="C295" t="s">
        <v>6</v>
      </c>
      <c r="D295">
        <v>0.49</v>
      </c>
    </row>
    <row r="296" spans="1:4" x14ac:dyDescent="0.25">
      <c r="A296" s="3">
        <v>45934</v>
      </c>
      <c r="B296">
        <v>79.760000000000005</v>
      </c>
      <c r="C296" t="s">
        <v>6</v>
      </c>
      <c r="D296">
        <v>2.79</v>
      </c>
    </row>
    <row r="297" spans="1:4" x14ac:dyDescent="0.25">
      <c r="A297" s="3">
        <v>45935</v>
      </c>
      <c r="B297">
        <v>90.45</v>
      </c>
      <c r="C297" t="s">
        <v>5</v>
      </c>
      <c r="D297">
        <v>3.16</v>
      </c>
    </row>
    <row r="298" spans="1:4" x14ac:dyDescent="0.25">
      <c r="A298" s="3">
        <v>45936</v>
      </c>
      <c r="B298">
        <v>24.19</v>
      </c>
      <c r="C298" t="s">
        <v>6</v>
      </c>
      <c r="D298">
        <v>0.85</v>
      </c>
    </row>
    <row r="299" spans="1:4" x14ac:dyDescent="0.25">
      <c r="A299" s="3">
        <v>45937</v>
      </c>
      <c r="B299">
        <v>49.88</v>
      </c>
      <c r="C299" t="s">
        <v>6</v>
      </c>
      <c r="D299">
        <v>1.74</v>
      </c>
    </row>
    <row r="300" spans="1:4" x14ac:dyDescent="0.25">
      <c r="A300" s="3">
        <v>45938</v>
      </c>
      <c r="B300">
        <v>97.22</v>
      </c>
      <c r="C300" t="s">
        <v>6</v>
      </c>
      <c r="D300">
        <v>3.4</v>
      </c>
    </row>
    <row r="301" spans="1:4" x14ac:dyDescent="0.25">
      <c r="A301" s="3">
        <v>45939</v>
      </c>
      <c r="B301">
        <v>33.85</v>
      </c>
      <c r="C301" t="s">
        <v>6</v>
      </c>
      <c r="D301">
        <v>1.18</v>
      </c>
    </row>
    <row r="302" spans="1:4" x14ac:dyDescent="0.25">
      <c r="A302" s="3">
        <v>45940</v>
      </c>
      <c r="B302">
        <v>64.12</v>
      </c>
      <c r="C302" t="s">
        <v>6</v>
      </c>
      <c r="D302">
        <v>2.2400000000000002</v>
      </c>
    </row>
    <row r="303" spans="1:4" x14ac:dyDescent="0.25">
      <c r="A303" s="3">
        <v>45941</v>
      </c>
      <c r="B303">
        <v>78.55</v>
      </c>
      <c r="C303" t="s">
        <v>6</v>
      </c>
      <c r="D303">
        <v>2.75</v>
      </c>
    </row>
    <row r="304" spans="1:4" x14ac:dyDescent="0.25">
      <c r="A304" s="3">
        <v>45942</v>
      </c>
      <c r="B304">
        <v>46.29</v>
      </c>
      <c r="C304" t="s">
        <v>6</v>
      </c>
      <c r="D304">
        <v>1.62</v>
      </c>
    </row>
    <row r="305" spans="1:4" x14ac:dyDescent="0.25">
      <c r="A305" s="3">
        <v>45943</v>
      </c>
      <c r="B305">
        <v>113.94</v>
      </c>
      <c r="C305" t="s">
        <v>6</v>
      </c>
      <c r="D305">
        <v>3.98</v>
      </c>
    </row>
    <row r="306" spans="1:4" x14ac:dyDescent="0.25">
      <c r="A306" s="3">
        <v>45944</v>
      </c>
      <c r="B306">
        <v>145.56</v>
      </c>
      <c r="C306" t="s">
        <v>5</v>
      </c>
      <c r="D306">
        <v>5.09</v>
      </c>
    </row>
    <row r="307" spans="1:4" x14ac:dyDescent="0.25">
      <c r="A307" s="3">
        <v>45945</v>
      </c>
      <c r="B307">
        <v>146.38999999999999</v>
      </c>
      <c r="C307" t="s">
        <v>4</v>
      </c>
      <c r="D307">
        <v>5.12</v>
      </c>
    </row>
    <row r="308" spans="1:4" x14ac:dyDescent="0.25">
      <c r="A308" s="3">
        <v>45946</v>
      </c>
      <c r="B308">
        <v>83.59</v>
      </c>
      <c r="C308" t="s">
        <v>4</v>
      </c>
      <c r="D308">
        <v>2.92</v>
      </c>
    </row>
    <row r="309" spans="1:4" x14ac:dyDescent="0.25">
      <c r="A309" s="3">
        <v>45947</v>
      </c>
      <c r="B309">
        <v>79.64</v>
      </c>
      <c r="C309" t="s">
        <v>6</v>
      </c>
      <c r="D309">
        <v>2.78</v>
      </c>
    </row>
    <row r="310" spans="1:4" x14ac:dyDescent="0.25">
      <c r="A310" s="3">
        <v>45948</v>
      </c>
      <c r="B310">
        <v>53.05</v>
      </c>
      <c r="C310" t="s">
        <v>6</v>
      </c>
      <c r="D310">
        <v>1.85</v>
      </c>
    </row>
    <row r="311" spans="1:4" x14ac:dyDescent="0.25">
      <c r="A311" s="3">
        <v>45949</v>
      </c>
      <c r="B311">
        <v>118.41</v>
      </c>
      <c r="C311" t="s">
        <v>6</v>
      </c>
      <c r="D311">
        <v>4.1399999999999997</v>
      </c>
    </row>
    <row r="312" spans="1:4" x14ac:dyDescent="0.25">
      <c r="A312" s="3">
        <v>45950</v>
      </c>
      <c r="B312">
        <v>116.33</v>
      </c>
      <c r="C312" t="s">
        <v>6</v>
      </c>
      <c r="D312">
        <v>4.07</v>
      </c>
    </row>
    <row r="313" spans="1:4" x14ac:dyDescent="0.25">
      <c r="A313" s="3">
        <v>45951</v>
      </c>
      <c r="B313">
        <v>121.8</v>
      </c>
      <c r="C313" t="s">
        <v>4</v>
      </c>
      <c r="D313">
        <v>4.26</v>
      </c>
    </row>
    <row r="314" spans="1:4" x14ac:dyDescent="0.25">
      <c r="A314" s="3">
        <v>45952</v>
      </c>
      <c r="B314">
        <v>148.4</v>
      </c>
      <c r="C314" t="s">
        <v>6</v>
      </c>
      <c r="D314">
        <v>5.19</v>
      </c>
    </row>
    <row r="315" spans="1:4" x14ac:dyDescent="0.25">
      <c r="A315" s="3">
        <v>45953</v>
      </c>
      <c r="B315">
        <v>141.27000000000001</v>
      </c>
      <c r="C315" t="s">
        <v>6</v>
      </c>
      <c r="D315">
        <v>4.9400000000000004</v>
      </c>
    </row>
    <row r="316" spans="1:4" x14ac:dyDescent="0.25">
      <c r="A316" s="3">
        <v>45954</v>
      </c>
      <c r="B316">
        <v>146.37</v>
      </c>
      <c r="C316" t="s">
        <v>6</v>
      </c>
      <c r="D316">
        <v>5.12</v>
      </c>
    </row>
    <row r="317" spans="1:4" x14ac:dyDescent="0.25">
      <c r="A317" s="3">
        <v>45955</v>
      </c>
      <c r="B317">
        <v>113.48</v>
      </c>
      <c r="C317" t="s">
        <v>6</v>
      </c>
      <c r="D317">
        <v>3.97</v>
      </c>
    </row>
    <row r="318" spans="1:4" x14ac:dyDescent="0.25">
      <c r="A318" s="3">
        <v>45956</v>
      </c>
      <c r="B318">
        <v>64.95</v>
      </c>
      <c r="C318" t="s">
        <v>6</v>
      </c>
      <c r="D318">
        <v>2.27</v>
      </c>
    </row>
    <row r="319" spans="1:4" x14ac:dyDescent="0.25">
      <c r="A319" s="3">
        <v>45957</v>
      </c>
      <c r="B319">
        <v>25.27</v>
      </c>
      <c r="C319" t="s">
        <v>6</v>
      </c>
      <c r="D319">
        <v>0.88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EF4A-AB14-4B9B-8521-0C98F0E92F00}">
  <sheetPr>
    <pageSetUpPr fitToPage="1"/>
  </sheetPr>
  <dimension ref="A1:P15"/>
  <sheetViews>
    <sheetView zoomScale="85" zoomScaleNormal="85" zoomScaleSheetLayoutView="70" workbookViewId="0">
      <selection activeCell="Y13" sqref="Y13"/>
    </sheetView>
  </sheetViews>
  <sheetFormatPr defaultRowHeight="15" x14ac:dyDescent="0.25"/>
  <cols>
    <col min="1" max="1" width="12.28515625" bestFit="1" customWidth="1"/>
    <col min="2" max="3" width="11" bestFit="1" customWidth="1"/>
    <col min="4" max="4" width="6.28515625" bestFit="1" customWidth="1"/>
    <col min="5" max="5" width="14.28515625" bestFit="1" customWidth="1"/>
    <col min="6" max="6" width="15" bestFit="1" customWidth="1"/>
    <col min="7" max="7" width="10.42578125" bestFit="1" customWidth="1"/>
    <col min="8" max="8" width="10.5703125" bestFit="1" customWidth="1"/>
    <col min="9" max="9" width="17.140625" customWidth="1"/>
    <col min="10" max="10" width="18.42578125" bestFit="1" customWidth="1"/>
    <col min="11" max="11" width="20.85546875" bestFit="1" customWidth="1"/>
    <col min="12" max="12" width="16.5703125" bestFit="1" customWidth="1"/>
    <col min="13" max="13" width="14" bestFit="1" customWidth="1"/>
    <col min="14" max="14" width="27.5703125" bestFit="1" customWidth="1"/>
    <col min="15" max="15" width="16.7109375" bestFit="1" customWidth="1"/>
    <col min="16" max="16" width="25.140625" bestFit="1" customWidth="1"/>
  </cols>
  <sheetData>
    <row r="1" spans="1:16" ht="55.5" customHeight="1" x14ac:dyDescent="0.25">
      <c r="A1" s="35" t="s">
        <v>41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55.5" customHeight="1" thickBo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s="2" customFormat="1" ht="37.5" customHeight="1" x14ac:dyDescent="0.25">
      <c r="A3" s="12" t="s">
        <v>9</v>
      </c>
      <c r="B3" s="13" t="s">
        <v>7</v>
      </c>
      <c r="C3" s="13" t="s">
        <v>8</v>
      </c>
      <c r="D3" s="13" t="s">
        <v>19</v>
      </c>
      <c r="E3" s="13" t="s">
        <v>21</v>
      </c>
      <c r="F3" s="13" t="s">
        <v>38</v>
      </c>
      <c r="G3" s="14" t="s">
        <v>20</v>
      </c>
      <c r="H3" s="29" t="s">
        <v>23</v>
      </c>
      <c r="I3" s="4" t="s">
        <v>22</v>
      </c>
      <c r="J3" s="4" t="s">
        <v>28</v>
      </c>
      <c r="K3" s="4" t="s">
        <v>34</v>
      </c>
      <c r="L3" s="4" t="s">
        <v>29</v>
      </c>
      <c r="M3" s="5" t="s">
        <v>24</v>
      </c>
      <c r="N3" s="12" t="s">
        <v>35</v>
      </c>
      <c r="O3" s="13" t="s">
        <v>36</v>
      </c>
      <c r="P3" s="14" t="s">
        <v>37</v>
      </c>
    </row>
    <row r="4" spans="1:16" ht="18.75" x14ac:dyDescent="0.3">
      <c r="A4" s="21" t="s">
        <v>25</v>
      </c>
      <c r="B4" s="22">
        <v>45639</v>
      </c>
      <c r="C4" s="22">
        <v>45672</v>
      </c>
      <c r="D4" s="23">
        <f t="shared" ref="D4:D12" si="0">C4-B4</f>
        <v>33</v>
      </c>
      <c r="E4" s="16">
        <v>10420</v>
      </c>
      <c r="F4" s="24">
        <v>7328.8</v>
      </c>
      <c r="G4" s="31">
        <v>695</v>
      </c>
      <c r="H4" s="30">
        <f>SUMIFS(
    Resumo_Monitoramento!B:B,
    Resumo_Monitoramento!A:A, "&gt;=" &amp; Análise!$B4,
    Resumo_Monitoramento!A:A, "&lt;=" &amp; Análise!$C4
)</f>
        <v>3923.09</v>
      </c>
      <c r="I4" s="6">
        <f>H4-G4</f>
        <v>3228.09</v>
      </c>
      <c r="J4" s="6">
        <f>E4+H4</f>
        <v>14343.09</v>
      </c>
      <c r="K4" s="7">
        <f>J4*(TUSD+TE)</f>
        <v>12673.32483456</v>
      </c>
      <c r="L4" s="7">
        <f>K4-F4</f>
        <v>5344.5248345600003</v>
      </c>
      <c r="M4" s="8">
        <f>J4-H4</f>
        <v>10420</v>
      </c>
      <c r="N4" s="15">
        <v>8635</v>
      </c>
      <c r="O4" s="16">
        <f>N4+H4</f>
        <v>12558.09</v>
      </c>
      <c r="P4" s="17">
        <f t="shared" ref="P4:P15" si="1">IF(J4-O4&gt;0,(J4-O4)*(TE+TUSD)+COSIP,(100*(TE+TUSD)+COSIP))</f>
        <v>1590.9074400000002</v>
      </c>
    </row>
    <row r="5" spans="1:16" ht="18.75" x14ac:dyDescent="0.3">
      <c r="A5" s="21" t="s">
        <v>14</v>
      </c>
      <c r="B5" s="22">
        <v>45672</v>
      </c>
      <c r="C5" s="22">
        <v>45702</v>
      </c>
      <c r="D5" s="23">
        <f t="shared" si="0"/>
        <v>30</v>
      </c>
      <c r="E5" s="16">
        <v>11961</v>
      </c>
      <c r="F5" s="24">
        <v>8845.5400000000009</v>
      </c>
      <c r="G5" s="31">
        <v>502</v>
      </c>
      <c r="H5" s="30">
        <f>SUMIFS(
    Resumo_Monitoramento!B:B,
    Resumo_Monitoramento!A:A, "&gt;=" &amp; Análise!$B5,
    Resumo_Monitoramento!A:A, "&lt;=" &amp; Análise!$C5
)</f>
        <v>3350.7799999999993</v>
      </c>
      <c r="I5" s="6">
        <f t="shared" ref="I5:I11" si="2">H5-G5</f>
        <v>2848.7799999999993</v>
      </c>
      <c r="J5" s="6">
        <f t="shared" ref="J5:J15" si="3">E5+H5</f>
        <v>15311.779999999999</v>
      </c>
      <c r="K5" s="7">
        <f t="shared" ref="K5:K15" si="4">J5*(TUSD+TE)</f>
        <v>13529.243819519999</v>
      </c>
      <c r="L5" s="7">
        <f t="shared" ref="L5:L15" si="5">K5-F5</f>
        <v>4683.7038195199984</v>
      </c>
      <c r="M5" s="8">
        <f t="shared" ref="M5:M11" si="6">J5-H5</f>
        <v>11961</v>
      </c>
      <c r="N5" s="15">
        <v>8213</v>
      </c>
      <c r="O5" s="16">
        <f t="shared" ref="O5:O15" si="7">N5+H5</f>
        <v>11563.779999999999</v>
      </c>
      <c r="P5" s="17">
        <f t="shared" si="1"/>
        <v>3325.3828320000002</v>
      </c>
    </row>
    <row r="6" spans="1:16" ht="18.75" x14ac:dyDescent="0.3">
      <c r="A6" s="21" t="s">
        <v>15</v>
      </c>
      <c r="B6" s="22">
        <v>45702</v>
      </c>
      <c r="C6" s="22">
        <v>45733</v>
      </c>
      <c r="D6" s="23">
        <f t="shared" si="0"/>
        <v>31</v>
      </c>
      <c r="E6" s="16">
        <v>10697</v>
      </c>
      <c r="F6" s="24">
        <v>7440.98</v>
      </c>
      <c r="G6" s="31">
        <v>1297</v>
      </c>
      <c r="H6" s="30">
        <f>SUMIFS(
    Resumo_Monitoramento!B:B,
    Resumo_Monitoramento!A:A, "&gt;=" &amp; Análise!$B6,
    Resumo_Monitoramento!A:A, "&lt;=" &amp; Análise!$C6
)</f>
        <v>3776.12</v>
      </c>
      <c r="I6" s="6">
        <f t="shared" si="2"/>
        <v>2479.12</v>
      </c>
      <c r="J6" s="6">
        <f t="shared" si="3"/>
        <v>14473.119999999999</v>
      </c>
      <c r="K6" s="7">
        <f t="shared" si="4"/>
        <v>12788.217262079999</v>
      </c>
      <c r="L6" s="7">
        <f t="shared" si="5"/>
        <v>5347.2372620799997</v>
      </c>
      <c r="M6" s="8">
        <f t="shared" si="6"/>
        <v>10697</v>
      </c>
      <c r="N6" s="15">
        <v>7000</v>
      </c>
      <c r="O6" s="16">
        <f t="shared" si="7"/>
        <v>10776.119999999999</v>
      </c>
      <c r="P6" s="17">
        <f t="shared" si="1"/>
        <v>3280.320048</v>
      </c>
    </row>
    <row r="7" spans="1:16" ht="18.75" x14ac:dyDescent="0.3">
      <c r="A7" s="21" t="s">
        <v>16</v>
      </c>
      <c r="B7" s="22">
        <v>45733</v>
      </c>
      <c r="C7" s="22">
        <v>45761</v>
      </c>
      <c r="D7" s="23">
        <f t="shared" si="0"/>
        <v>28</v>
      </c>
      <c r="E7" s="16">
        <v>6863</v>
      </c>
      <c r="F7" s="24">
        <v>4675.95</v>
      </c>
      <c r="G7" s="31">
        <v>1113</v>
      </c>
      <c r="H7" s="30">
        <f>SUMIFS(
    Resumo_Monitoramento!B:B,
    Resumo_Monitoramento!A:A, "&gt;=" &amp; Análise!$B7,
    Resumo_Monitoramento!A:A, "&lt;=" &amp; Análise!$C7
)</f>
        <v>2862.7499999999995</v>
      </c>
      <c r="I7" s="6">
        <f t="shared" si="2"/>
        <v>1749.7499999999995</v>
      </c>
      <c r="J7" s="6">
        <f t="shared" si="3"/>
        <v>9725.75</v>
      </c>
      <c r="K7" s="7">
        <f t="shared" si="4"/>
        <v>8593.5170880000005</v>
      </c>
      <c r="L7" s="7">
        <f t="shared" si="5"/>
        <v>3917.5670880000007</v>
      </c>
      <c r="M7" s="8">
        <f t="shared" si="6"/>
        <v>6863</v>
      </c>
      <c r="N7" s="15">
        <v>5611</v>
      </c>
      <c r="O7" s="16">
        <f t="shared" si="7"/>
        <v>8473.75</v>
      </c>
      <c r="P7" s="17">
        <f t="shared" si="1"/>
        <v>1119.9571680000001</v>
      </c>
    </row>
    <row r="8" spans="1:16" ht="18.75" x14ac:dyDescent="0.3">
      <c r="A8" s="21" t="s">
        <v>17</v>
      </c>
      <c r="B8" s="22">
        <v>45761</v>
      </c>
      <c r="C8" s="22">
        <v>45792</v>
      </c>
      <c r="D8" s="23">
        <f t="shared" si="0"/>
        <v>31</v>
      </c>
      <c r="E8" s="16">
        <v>6506</v>
      </c>
      <c r="F8" s="24">
        <v>4300.1000000000004</v>
      </c>
      <c r="G8" s="31">
        <v>1237</v>
      </c>
      <c r="H8" s="30">
        <f>SUMIFS(
    Resumo_Monitoramento!B:B,
    Resumo_Monitoramento!A:A, "&gt;=" &amp; Análise!$B8,
    Resumo_Monitoramento!A:A, "&lt;=" &amp; Análise!$C8
)</f>
        <v>2657.74</v>
      </c>
      <c r="I8" s="6">
        <f t="shared" si="2"/>
        <v>1420.7399999999998</v>
      </c>
      <c r="J8" s="6">
        <f t="shared" si="3"/>
        <v>9163.74</v>
      </c>
      <c r="K8" s="7">
        <f t="shared" si="4"/>
        <v>8096.9340441599998</v>
      </c>
      <c r="L8" s="7">
        <f t="shared" si="5"/>
        <v>3796.8340441599994</v>
      </c>
      <c r="M8" s="8">
        <f t="shared" si="6"/>
        <v>6506</v>
      </c>
      <c r="N8" s="15">
        <v>4577</v>
      </c>
      <c r="O8" s="16">
        <f t="shared" si="7"/>
        <v>7234.74</v>
      </c>
      <c r="P8" s="17">
        <f t="shared" si="1"/>
        <v>1718.143536</v>
      </c>
    </row>
    <row r="9" spans="1:16" ht="18.75" x14ac:dyDescent="0.3">
      <c r="A9" s="21" t="s">
        <v>12</v>
      </c>
      <c r="B9" s="22">
        <v>45792</v>
      </c>
      <c r="C9" s="22">
        <v>45821</v>
      </c>
      <c r="D9" s="23">
        <f t="shared" si="0"/>
        <v>29</v>
      </c>
      <c r="E9" s="16">
        <v>4637</v>
      </c>
      <c r="F9" s="24">
        <v>3351.3</v>
      </c>
      <c r="G9" s="31">
        <v>608</v>
      </c>
      <c r="H9" s="30">
        <f>SUMIFS(
    Resumo_Monitoramento!B:B,
    Resumo_Monitoramento!A:A, "&gt;=" &amp; Análise!$B9,
    Resumo_Monitoramento!A:A, "&lt;=" &amp; Análise!$C9
)</f>
        <v>1651.3500000000004</v>
      </c>
      <c r="I9" s="6">
        <f t="shared" si="2"/>
        <v>1043.3500000000004</v>
      </c>
      <c r="J9" s="6">
        <f t="shared" si="3"/>
        <v>6288.35</v>
      </c>
      <c r="K9" s="7">
        <f t="shared" si="4"/>
        <v>5556.2854464000002</v>
      </c>
      <c r="L9" s="7">
        <f t="shared" si="5"/>
        <v>2204.9854464</v>
      </c>
      <c r="M9" s="8">
        <f t="shared" si="6"/>
        <v>4637</v>
      </c>
      <c r="N9" s="15">
        <v>3810</v>
      </c>
      <c r="O9" s="16">
        <f t="shared" si="7"/>
        <v>5461.35</v>
      </c>
      <c r="P9" s="17">
        <f t="shared" si="1"/>
        <v>744.43396800000005</v>
      </c>
    </row>
    <row r="10" spans="1:16" ht="18.75" x14ac:dyDescent="0.3">
      <c r="A10" s="21" t="s">
        <v>13</v>
      </c>
      <c r="B10" s="22">
        <v>45821</v>
      </c>
      <c r="C10" s="22">
        <v>45854</v>
      </c>
      <c r="D10" s="23">
        <f t="shared" si="0"/>
        <v>33</v>
      </c>
      <c r="E10" s="16">
        <v>4190</v>
      </c>
      <c r="F10" s="24">
        <v>2891.43</v>
      </c>
      <c r="G10" s="31">
        <v>735</v>
      </c>
      <c r="H10" s="30">
        <f>SUMIFS(
    Resumo_Monitoramento!B:B,
    Resumo_Monitoramento!A:A, "&gt;=" &amp; Análise!$B10,
    Resumo_Monitoramento!A:A, "&lt;=" &amp; Análise!$C10
)</f>
        <v>1902.28</v>
      </c>
      <c r="I10" s="6">
        <f t="shared" si="2"/>
        <v>1167.28</v>
      </c>
      <c r="J10" s="6">
        <f t="shared" si="3"/>
        <v>6092.28</v>
      </c>
      <c r="K10" s="7">
        <f t="shared" si="4"/>
        <v>5383.0411315199999</v>
      </c>
      <c r="L10" s="7">
        <f t="shared" si="5"/>
        <v>2491.6111315200001</v>
      </c>
      <c r="M10" s="8">
        <f t="shared" si="6"/>
        <v>4190</v>
      </c>
      <c r="N10" s="15">
        <v>4006</v>
      </c>
      <c r="O10" s="16">
        <f t="shared" si="7"/>
        <v>5908.28</v>
      </c>
      <c r="P10" s="17">
        <f t="shared" si="1"/>
        <v>176.289456</v>
      </c>
    </row>
    <row r="11" spans="1:16" ht="18.75" x14ac:dyDescent="0.3">
      <c r="A11" s="21" t="s">
        <v>10</v>
      </c>
      <c r="B11" s="22">
        <v>45854</v>
      </c>
      <c r="C11" s="22">
        <v>45883</v>
      </c>
      <c r="D11" s="23">
        <f t="shared" si="0"/>
        <v>29</v>
      </c>
      <c r="E11" s="16">
        <v>4120</v>
      </c>
      <c r="F11" s="24">
        <v>2710.15</v>
      </c>
      <c r="G11" s="31">
        <v>957</v>
      </c>
      <c r="H11" s="30">
        <f>SUMIFS(
    Resumo_Monitoramento!B:B,
    Resumo_Monitoramento!A:A, "&gt;=" &amp; Análise!$B11,
    Resumo_Monitoramento!A:A, "&lt;=" &amp; Análise!$C11
)</f>
        <v>1983.6000000000001</v>
      </c>
      <c r="I11" s="6">
        <f t="shared" si="2"/>
        <v>1026.6000000000001</v>
      </c>
      <c r="J11" s="6">
        <f t="shared" si="3"/>
        <v>6103.6</v>
      </c>
      <c r="K11" s="7">
        <f t="shared" si="4"/>
        <v>5393.0433024000004</v>
      </c>
      <c r="L11" s="7">
        <f t="shared" si="5"/>
        <v>2682.8933024000003</v>
      </c>
      <c r="M11" s="8">
        <f t="shared" si="6"/>
        <v>4120</v>
      </c>
      <c r="N11" s="15">
        <v>4919</v>
      </c>
      <c r="O11" s="16">
        <f t="shared" si="7"/>
        <v>6902.6</v>
      </c>
      <c r="P11" s="17">
        <f t="shared" si="1"/>
        <v>102.0684</v>
      </c>
    </row>
    <row r="12" spans="1:16" ht="18.75" x14ac:dyDescent="0.3">
      <c r="A12" s="21" t="s">
        <v>11</v>
      </c>
      <c r="B12" s="22">
        <v>45883</v>
      </c>
      <c r="C12" s="22">
        <v>45915</v>
      </c>
      <c r="D12" s="23">
        <f t="shared" si="0"/>
        <v>32</v>
      </c>
      <c r="E12" s="16">
        <v>3754</v>
      </c>
      <c r="F12" s="24">
        <v>2771.04</v>
      </c>
      <c r="G12" s="31">
        <v>904</v>
      </c>
      <c r="H12" s="30">
        <f>SUMIFS(
    Resumo_Monitoramento!B:B,
    Resumo_Monitoramento!A:A, "&gt;=" &amp; Análise!$B12,
    Resumo_Monitoramento!A:A, "&lt;=" &amp; Análise!$C12
)</f>
        <v>2122.4299999999998</v>
      </c>
      <c r="I12" s="6">
        <f>H12-G12</f>
        <v>1218.4299999999998</v>
      </c>
      <c r="J12" s="6">
        <f t="shared" si="3"/>
        <v>5876.43</v>
      </c>
      <c r="K12" s="7">
        <f t="shared" si="4"/>
        <v>5192.3195251200004</v>
      </c>
      <c r="L12" s="7">
        <f t="shared" si="5"/>
        <v>2421.2795251200005</v>
      </c>
      <c r="M12" s="8">
        <f>J12-H12</f>
        <v>3754.0000000000005</v>
      </c>
      <c r="N12" s="15">
        <v>5335</v>
      </c>
      <c r="O12" s="16">
        <f t="shared" si="7"/>
        <v>7457.43</v>
      </c>
      <c r="P12" s="17">
        <f t="shared" si="1"/>
        <v>102.0684</v>
      </c>
    </row>
    <row r="13" spans="1:16" ht="18.75" x14ac:dyDescent="0.3">
      <c r="A13" s="21" t="s">
        <v>18</v>
      </c>
      <c r="B13" s="22">
        <v>45915</v>
      </c>
      <c r="C13" s="22">
        <v>45945</v>
      </c>
      <c r="D13" s="23">
        <f>C13-B13</f>
        <v>30</v>
      </c>
      <c r="E13" s="16">
        <v>4713</v>
      </c>
      <c r="F13" s="24">
        <v>3662.64</v>
      </c>
      <c r="G13" s="31">
        <v>1004</v>
      </c>
      <c r="H13" s="30">
        <f>SUMIFS(
    Resumo_Monitoramento!B:B,
    Resumo_Monitoramento!A:A, "&gt;=" &amp; Análise!$B13,
    Resumo_Monitoramento!A:A, "&lt;=" &amp; Análise!$C13
)</f>
        <v>2522.3000000000002</v>
      </c>
      <c r="I13" s="6">
        <f>H13-G13</f>
        <v>1518.3000000000002</v>
      </c>
      <c r="J13" s="6">
        <f t="shared" si="3"/>
        <v>7235.3</v>
      </c>
      <c r="K13" s="7">
        <f t="shared" si="4"/>
        <v>6392.9953152000007</v>
      </c>
      <c r="L13" s="7">
        <f t="shared" si="5"/>
        <v>2730.3553152000009</v>
      </c>
      <c r="M13" s="8">
        <f>J13-H13</f>
        <v>4713</v>
      </c>
      <c r="N13" s="15">
        <v>6307</v>
      </c>
      <c r="O13" s="16">
        <f t="shared" si="7"/>
        <v>8829.2999999999993</v>
      </c>
      <c r="P13" s="17">
        <f t="shared" si="1"/>
        <v>102.0684</v>
      </c>
    </row>
    <row r="14" spans="1:16" ht="18.75" x14ac:dyDescent="0.3">
      <c r="A14" s="21" t="s">
        <v>26</v>
      </c>
      <c r="B14" s="22"/>
      <c r="C14" s="22"/>
      <c r="D14" s="23"/>
      <c r="E14" s="16">
        <f>MEDIAN(E9:E13)</f>
        <v>4190</v>
      </c>
      <c r="F14" s="24">
        <f>MEDIAN(F9:F13)</f>
        <v>2891.43</v>
      </c>
      <c r="G14" s="31">
        <f>MEDIAN(G9:G13)</f>
        <v>904</v>
      </c>
      <c r="H14" s="33">
        <f>MEDIAN(H4:H8)</f>
        <v>3350.7799999999993</v>
      </c>
      <c r="I14" s="6">
        <f t="shared" ref="I14:I15" si="8">H14-G14</f>
        <v>2446.7799999999993</v>
      </c>
      <c r="J14" s="6">
        <f t="shared" si="3"/>
        <v>7540.7799999999988</v>
      </c>
      <c r="K14" s="7">
        <f t="shared" si="4"/>
        <v>6662.9125555199989</v>
      </c>
      <c r="L14" s="7">
        <f t="shared" si="5"/>
        <v>3771.4825555199991</v>
      </c>
      <c r="M14" s="8">
        <f t="shared" ref="M14:M15" si="9">J14-H14</f>
        <v>4190</v>
      </c>
      <c r="N14" s="15">
        <v>8065</v>
      </c>
      <c r="O14" s="16">
        <f t="shared" si="7"/>
        <v>11415.779999999999</v>
      </c>
      <c r="P14" s="17">
        <f t="shared" si="1"/>
        <v>102.0684</v>
      </c>
    </row>
    <row r="15" spans="1:16" ht="19.5" thickBot="1" x14ac:dyDescent="0.35">
      <c r="A15" s="25" t="s">
        <v>27</v>
      </c>
      <c r="B15" s="26"/>
      <c r="C15" s="26"/>
      <c r="D15" s="27"/>
      <c r="E15" s="19">
        <f>MEDIAN(E4:E8)</f>
        <v>10420</v>
      </c>
      <c r="F15" s="28">
        <f>MEDIAN(F4:F8)</f>
        <v>7328.8</v>
      </c>
      <c r="G15" s="32">
        <f>MEDIAN(G4:G8)</f>
        <v>1113</v>
      </c>
      <c r="H15" s="34">
        <f>MEDIAN(H10:H14)</f>
        <v>2122.4299999999998</v>
      </c>
      <c r="I15" s="9">
        <f t="shared" si="8"/>
        <v>1009.4299999999998</v>
      </c>
      <c r="J15" s="9">
        <f t="shared" si="3"/>
        <v>12542.43</v>
      </c>
      <c r="K15" s="10">
        <f t="shared" si="4"/>
        <v>11082.29046912</v>
      </c>
      <c r="L15" s="10">
        <f t="shared" si="5"/>
        <v>3753.4904691199999</v>
      </c>
      <c r="M15" s="11">
        <f t="shared" si="9"/>
        <v>10420</v>
      </c>
      <c r="N15" s="18">
        <v>8711</v>
      </c>
      <c r="O15" s="19">
        <f t="shared" si="7"/>
        <v>10833.43</v>
      </c>
      <c r="P15" s="20">
        <f t="shared" si="1"/>
        <v>1523.7550560000002</v>
      </c>
    </row>
  </sheetData>
  <mergeCells count="1">
    <mergeCell ref="A1:P2"/>
  </mergeCells>
  <pageMargins left="0.25" right="0.25" top="0.75" bottom="0.75" header="0.3" footer="0.3"/>
  <pageSetup paperSize="9" scale="57" orientation="landscape" r:id="rId1"/>
  <ignoredErrors>
    <ignoredError sqref="E14:E15 G14:G15 F14:F15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4889-5E29-4CF9-9304-21AB0BE249DE}">
  <dimension ref="A1:B6"/>
  <sheetViews>
    <sheetView workbookViewId="0">
      <selection activeCell="D22" sqref="D22"/>
    </sheetView>
  </sheetViews>
  <sheetFormatPr defaultRowHeight="15" x14ac:dyDescent="0.25"/>
  <cols>
    <col min="1" max="1" width="29.140625" bestFit="1" customWidth="1"/>
    <col min="2" max="2" width="13.28515625" bestFit="1" customWidth="1"/>
  </cols>
  <sheetData>
    <row r="1" spans="1:2" x14ac:dyDescent="0.25">
      <c r="A1" t="s">
        <v>30</v>
      </c>
      <c r="B1" s="1">
        <v>0.40888600000000003</v>
      </c>
    </row>
    <row r="2" spans="1:2" x14ac:dyDescent="0.25">
      <c r="A2" t="s">
        <v>31</v>
      </c>
      <c r="B2" s="1">
        <v>0.47469800000000001</v>
      </c>
    </row>
    <row r="3" spans="1:2" x14ac:dyDescent="0.25">
      <c r="A3" t="s">
        <v>32</v>
      </c>
      <c r="B3" s="1">
        <v>7.8367999999999993E-2</v>
      </c>
    </row>
    <row r="4" spans="1:2" x14ac:dyDescent="0.25">
      <c r="A4" t="s">
        <v>33</v>
      </c>
      <c r="B4" s="1">
        <v>13.71</v>
      </c>
    </row>
    <row r="5" spans="1:2" x14ac:dyDescent="0.25">
      <c r="A5" t="s">
        <v>39</v>
      </c>
      <c r="B5" s="1">
        <f>SUM(Análise!O4:O15)*(TUSD+TE)</f>
        <v>94909.866105599998</v>
      </c>
    </row>
    <row r="6" spans="1:2" x14ac:dyDescent="0.25">
      <c r="A6" t="s">
        <v>40</v>
      </c>
      <c r="B6" s="1">
        <f>SUM(Análise!H4:H15)*(TUSD+TE)</f>
        <v>28474.068729599992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Resumo_Monitoramento</vt:lpstr>
      <vt:lpstr>Análise</vt:lpstr>
      <vt:lpstr>dados</vt:lpstr>
      <vt:lpstr>B_Vermelha</vt:lpstr>
      <vt:lpstr>COSIP</vt:lpstr>
      <vt:lpstr>economia_atual</vt:lpstr>
      <vt:lpstr>economia_expansao</vt:lpstr>
      <vt:lpstr>Análise!Print_Area</vt:lpstr>
      <vt:lpstr>TE</vt:lpstr>
      <vt:lpstr>TUSD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Igrainne Almeida</dc:creator>
  <cp:lastModifiedBy>Guilherme de Freitas Beffart</cp:lastModifiedBy>
  <cp:lastPrinted>2026-01-11T22:08:09Z</cp:lastPrinted>
  <dcterms:created xsi:type="dcterms:W3CDTF">2025-10-27T18:30:22Z</dcterms:created>
  <dcterms:modified xsi:type="dcterms:W3CDTF">2026-01-11T22:40:12Z</dcterms:modified>
</cp:coreProperties>
</file>